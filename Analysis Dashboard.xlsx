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tables/table3.xml" ContentType="application/vnd.openxmlformats-officedocument.spreadsheetml.table+xml"/>
  <Override PartName="/xl/slicers/slicer4.xml" ContentType="application/vnd.ms-excel.slicer+xml"/>
  <Override PartName="/xl/drawings/drawing7.xml" ContentType="application/vnd.openxmlformats-officedocument.drawing+xml"/>
  <Override PartName="/xl/slicers/slicer5.xml" ContentType="application/vnd.ms-excel.slicer+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30c5cec84a93d14e/Desktop/"/>
    </mc:Choice>
  </mc:AlternateContent>
  <xr:revisionPtr revIDLastSave="454" documentId="8_{F64076F4-8DD3-4F7B-997E-F1CA671B06B2}" xr6:coauthVersionLast="47" xr6:coauthVersionMax="47" xr10:uidLastSave="{3CAF03B8-18E1-44F0-AD3D-C246DB7B27D2}"/>
  <bookViews>
    <workbookView xWindow="-120" yWindow="-120" windowWidth="24240" windowHeight="14880" firstSheet="3" activeTab="8" xr2:uid="{ED4219F2-9845-48B4-B37C-6516A2271AB9}"/>
  </bookViews>
  <sheets>
    <sheet name="Winners data" sheetId="3" r:id="rId1"/>
    <sheet name="teamStats_needed" sheetId="5" r:id="rId2"/>
    <sheet name="Super Raids And Tackles" sheetId="18" r:id="rId3"/>
    <sheet name="Wins" sheetId="14" r:id="rId4"/>
    <sheet name="Winners" sheetId="16" r:id="rId5"/>
    <sheet name="team performance" sheetId="15" r:id="rId6"/>
    <sheet name="Team Stats" sheetId="17" r:id="rId7"/>
    <sheet name="kpi" sheetId="10" r:id="rId8"/>
    <sheet name="Dashboard" sheetId="13" r:id="rId9"/>
  </sheets>
  <definedNames>
    <definedName name="_xlchart.v1.0" hidden="1">Winners!$D$4:$D$8</definedName>
    <definedName name="_xlchart.v1.1" hidden="1">Winners!$E$4:$E$8</definedName>
    <definedName name="_xlchart.v1.2" hidden="1">Winners!$D$4:$D$8</definedName>
    <definedName name="_xlchart.v1.3" hidden="1">Winners!$E$4:$E$8</definedName>
    <definedName name="Slicer_stats_status1">#N/A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10" l="1"/>
  <c r="H4" i="10" s="1"/>
  <c r="E5" i="16"/>
  <c r="E6" i="16"/>
  <c r="E7" i="16"/>
  <c r="E8" i="16"/>
  <c r="E4" i="16"/>
  <c r="D5" i="16"/>
  <c r="D6" i="16"/>
  <c r="D7" i="16"/>
  <c r="D8" i="16"/>
  <c r="D4" i="16"/>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M4" i="10" l="1"/>
  <c r="L4" i="10"/>
  <c r="K4" i="10"/>
  <c r="J4" i="10"/>
  <c r="I4" i="10"/>
</calcChain>
</file>

<file path=xl/sharedStrings.xml><?xml version="1.0" encoding="utf-8"?>
<sst xmlns="http://schemas.openxmlformats.org/spreadsheetml/2006/main" count="374" uniqueCount="83">
  <si>
    <t>team_name</t>
  </si>
  <si>
    <t>Season 1</t>
  </si>
  <si>
    <t>Jaipur Pink Panthers</t>
  </si>
  <si>
    <t>U Mumba</t>
  </si>
  <si>
    <t>Patna Pirates</t>
  </si>
  <si>
    <t>Bengaluru Bulls</t>
  </si>
  <si>
    <t>Telugu Titans</t>
  </si>
  <si>
    <t>Dabang Delhi K.C.</t>
  </si>
  <si>
    <t>Bengal Warriors</t>
  </si>
  <si>
    <t>Puneri Paltan</t>
  </si>
  <si>
    <t>Season 2</t>
  </si>
  <si>
    <t>Season 3</t>
  </si>
  <si>
    <t>Season 4</t>
  </si>
  <si>
    <t>Season 5</t>
  </si>
  <si>
    <t>Gujarat Fortunegiants</t>
  </si>
  <si>
    <t>U.P. Yoddha</t>
  </si>
  <si>
    <t>Haryana Steelers</t>
  </si>
  <si>
    <t>Tamil Thalaivas</t>
  </si>
  <si>
    <t>Season 6</t>
  </si>
  <si>
    <t>Season 7</t>
  </si>
  <si>
    <t>Overall</t>
  </si>
  <si>
    <t>Season</t>
  </si>
  <si>
    <t>Winner</t>
  </si>
  <si>
    <t>Runner Up</t>
  </si>
  <si>
    <t>Player of the Series</t>
  </si>
  <si>
    <t>Player of the Match</t>
  </si>
  <si>
    <t>Anup Kumar</t>
  </si>
  <si>
    <t>Maninder Singh</t>
  </si>
  <si>
    <t>Shabeer Bappu</t>
  </si>
  <si>
    <t>Rohit Kumar</t>
  </si>
  <si>
    <t>Pardeep Narwal</t>
  </si>
  <si>
    <t>Pawan Sehrawat</t>
  </si>
  <si>
    <t>Mohammed Nabibaksh</t>
  </si>
  <si>
    <t>Kashiling Adake</t>
  </si>
  <si>
    <t>Manjeet Chillar</t>
  </si>
  <si>
    <t>Best Defender</t>
  </si>
  <si>
    <t>Best Raider</t>
  </si>
  <si>
    <t>Ravindar Pahal</t>
  </si>
  <si>
    <t>Rahul Chaudhari</t>
  </si>
  <si>
    <t>Fazel Atrachali</t>
  </si>
  <si>
    <t>Surender Nada</t>
  </si>
  <si>
    <t>Nitesh Kumar</t>
  </si>
  <si>
    <t xml:space="preserve">Naveen Kumar </t>
  </si>
  <si>
    <t xml:space="preserve"> Season 7</t>
  </si>
  <si>
    <t xml:space="preserve"> Season 6</t>
  </si>
  <si>
    <t xml:space="preserve"> Season 5</t>
  </si>
  <si>
    <t xml:space="preserve"> Season 4</t>
  </si>
  <si>
    <t xml:space="preserve"> Season 3</t>
  </si>
  <si>
    <t xml:space="preserve"> Season 2</t>
  </si>
  <si>
    <t xml:space="preserve"> Season 1</t>
  </si>
  <si>
    <t>Total</t>
  </si>
  <si>
    <t>red_cards</t>
  </si>
  <si>
    <t>yellow_cards</t>
  </si>
  <si>
    <t>green_cards</t>
  </si>
  <si>
    <t>super_tackles</t>
  </si>
  <si>
    <t>tackle_success_rate</t>
  </si>
  <si>
    <t>unsuccesful_tackles</t>
  </si>
  <si>
    <t>success_tackles</t>
  </si>
  <si>
    <t>total_tackles</t>
  </si>
  <si>
    <t>super_raids</t>
  </si>
  <si>
    <t>success_raid_percent</t>
  </si>
  <si>
    <t>empty_raid</t>
  </si>
  <si>
    <t>unsuccess_raids</t>
  </si>
  <si>
    <t>all_outs</t>
  </si>
  <si>
    <t>success_raids</t>
  </si>
  <si>
    <t>total_raids</t>
  </si>
  <si>
    <t>draws</t>
  </si>
  <si>
    <t>losses</t>
  </si>
  <si>
    <t>wins</t>
  </si>
  <si>
    <t>total_matches</t>
  </si>
  <si>
    <t>stats_status</t>
  </si>
  <si>
    <t>Row Labels</t>
  </si>
  <si>
    <t>Grand Total</t>
  </si>
  <si>
    <t>Column Labels</t>
  </si>
  <si>
    <t>Count of Winner</t>
  </si>
  <si>
    <t>Sum of wins</t>
  </si>
  <si>
    <t>Sum of losses</t>
  </si>
  <si>
    <t>Sum of draws</t>
  </si>
  <si>
    <t>Average of success_raid_percent</t>
  </si>
  <si>
    <t>Average of tackle_success_rate</t>
  </si>
  <si>
    <t>N/A</t>
  </si>
  <si>
    <t>Sum of super_raids</t>
  </si>
  <si>
    <t>Sum of super_tackles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</si>
</sst>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0" fontId="0" fillId="0" borderId="10" xfId="0" applyBorder="1"/>
    <xf numFmtId="0" fontId="0" fillId="0" borderId="12" xfId="0" applyBorder="1" applyAlignment="1">
      <alignment horizontal="center" vertical="center"/>
    </xf>
    <xf numFmtId="0" fontId="0" fillId="0" borderId="0" xfId="0" pivotButton="1"/>
    <xf numFmtId="0" fontId="0" fillId="0" borderId="0" xfId="0" applyAlignment="1">
      <alignment horizontal="left"/>
    </xf>
    <xf numFmtId="0" fontId="0" fillId="0" borderId="13" xfId="0" applyBorder="1"/>
    <xf numFmtId="0" fontId="0" fillId="0" borderId="14" xfId="0" applyBorder="1"/>
    <xf numFmtId="0" fontId="0" fillId="0" borderId="16" xfId="0" applyBorder="1"/>
    <xf numFmtId="0" fontId="0" fillId="0" borderId="11" xfId="0" applyBorder="1"/>
    <xf numFmtId="0" fontId="0" fillId="0" borderId="17" xfId="0" applyBorder="1"/>
    <xf numFmtId="0" fontId="0" fillId="0" borderId="15" xfId="0" applyBorder="1" applyAlignment="1">
      <alignment horizontal="center" vertical="center"/>
    </xf>
    <xf numFmtId="0" fontId="0" fillId="0" borderId="19" xfId="0" applyBorder="1" applyAlignment="1">
      <alignment horizontal="center" vertical="center"/>
    </xf>
    <xf numFmtId="0" fontId="0" fillId="0" borderId="18" xfId="0" applyBorder="1" applyAlignment="1">
      <alignment horizontal="center" vertical="center"/>
    </xf>
    <xf numFmtId="9" fontId="0" fillId="0" borderId="0" xfId="42" applyFont="1"/>
    <xf numFmtId="2" fontId="0" fillId="0" borderId="0" xfId="0" applyNumberFormat="1"/>
    <xf numFmtId="0" fontId="13" fillId="33" borderId="10" xfId="0" applyFont="1" applyFill="1" applyBorder="1" applyAlignment="1">
      <alignment horizontal="center" vertical="center"/>
    </xf>
    <xf numFmtId="0" fontId="13" fillId="33" borderId="20" xfId="0" applyFont="1" applyFill="1" applyBorder="1" applyAlignment="1">
      <alignment horizontal="center" vertical="center"/>
    </xf>
    <xf numFmtId="0" fontId="16" fillId="0" borderId="0" xfId="0" applyFon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9">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numFmt numFmtId="13" formatCode="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Slicer Style 1" pivot="0" table="0" count="1" xr9:uid="{1F3591F4-8410-44C9-B108-AE51AA7351E9}"/>
  </tableStyles>
  <colors>
    <mruColors>
      <color rgb="FF2B0A3D"/>
      <color rgb="FF271137"/>
      <color rgb="FFF28C40"/>
      <color rgb="FFEB7A41"/>
      <color rgb="FF270B24"/>
      <color rgb="FFBB1BB3"/>
      <color rgb="FFE440DC"/>
    </mruColors>
  </colors>
  <extLst>
    <ext xmlns:x14="http://schemas.microsoft.com/office/spreadsheetml/2009/9/main" uri="{46F421CA-312F-682f-3DD2-61675219B42D}">
      <x14:dxfs count="1">
        <dxf>
          <fill>
            <patternFill>
              <bgColor theme="5"/>
            </patternFill>
          </fill>
        </dxf>
      </x14:dxfs>
    </ext>
    <ext xmlns:x14="http://schemas.microsoft.com/office/spreadsheetml/2009/9/main" uri="{EB79DEF2-80B8-43e5-95BD-54CBDDF9020C}">
      <x14:slicerStyles defaultSlicerStyle="SlicerStyleLight1">
        <x14:slicerStyle name="Slicer Style 1">
          <x14:slicerStyleElements>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[PKL analysis Dashboard.xlsx]Super Raids And Tackles!PivotTable1</c:name>
    <c:fmtId val="0"/>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'Super Raids And Tackles'!$B$3</c:f>
              <c:strCache>
                <c:ptCount val="1"/>
                <c:pt idx="0">
                  <c:v>Sum of super_raids</c:v>
                </c:pt>
              </c:strCache>
            </c:strRef>
          </c:tx>
          <c:spPr>
            <a:solidFill>
              <a:schemeClr val="accent2">
                <a:shade val="76000"/>
              </a:schemeClr>
            </a:solidFill>
            <a:ln>
              <a:noFill/>
            </a:ln>
            <a:effectLst/>
            <a:sp3d/>
          </c:spPr>
          <c:invertIfNegative val="0"/>
          <c:cat>
            <c:strRef>
              <c:f>'Super Raids And Tackles'!$A$4:$A$12</c:f>
              <c:strCache>
                <c:ptCount val="8"/>
                <c:pt idx="0">
                  <c:v>Bengal Warriors</c:v>
                </c:pt>
                <c:pt idx="1">
                  <c:v>Bengaluru Bulls</c:v>
                </c:pt>
                <c:pt idx="2">
                  <c:v>Dabang Delhi K.C.</c:v>
                </c:pt>
                <c:pt idx="3">
                  <c:v>Jaipur Pink Panthers</c:v>
                </c:pt>
                <c:pt idx="4">
                  <c:v>Patna Pirates</c:v>
                </c:pt>
                <c:pt idx="5">
                  <c:v>Puneri Paltan</c:v>
                </c:pt>
                <c:pt idx="6">
                  <c:v>Telugu Titans</c:v>
                </c:pt>
                <c:pt idx="7">
                  <c:v>U Mumba</c:v>
                </c:pt>
              </c:strCache>
            </c:strRef>
          </c:cat>
          <c:val>
            <c:numRef>
              <c:f>'Super Raids And Tackles'!$B$4:$B$12</c:f>
              <c:numCache>
                <c:formatCode>General</c:formatCode>
                <c:ptCount val="8"/>
                <c:pt idx="0">
                  <c:v>11</c:v>
                </c:pt>
                <c:pt idx="1">
                  <c:v>7</c:v>
                </c:pt>
                <c:pt idx="2">
                  <c:v>5</c:v>
                </c:pt>
                <c:pt idx="3">
                  <c:v>9</c:v>
                </c:pt>
                <c:pt idx="4">
                  <c:v>13</c:v>
                </c:pt>
                <c:pt idx="5">
                  <c:v>11</c:v>
                </c:pt>
                <c:pt idx="6">
                  <c:v>8</c:v>
                </c:pt>
                <c:pt idx="7">
                  <c:v>12</c:v>
                </c:pt>
              </c:numCache>
            </c:numRef>
          </c:val>
          <c:extLst>
            <c:ext xmlns:c16="http://schemas.microsoft.com/office/drawing/2014/chart" uri="{C3380CC4-5D6E-409C-BE32-E72D297353CC}">
              <c16:uniqueId val="{00000000-75DE-4B74-89CB-77C14AE38E5E}"/>
            </c:ext>
          </c:extLst>
        </c:ser>
        <c:ser>
          <c:idx val="1"/>
          <c:order val="1"/>
          <c:tx>
            <c:strRef>
              <c:f>'Super Raids And Tackles'!$C$3</c:f>
              <c:strCache>
                <c:ptCount val="1"/>
                <c:pt idx="0">
                  <c:v>Sum of super_tackles</c:v>
                </c:pt>
              </c:strCache>
            </c:strRef>
          </c:tx>
          <c:spPr>
            <a:solidFill>
              <a:schemeClr val="accent2">
                <a:tint val="77000"/>
              </a:schemeClr>
            </a:solidFill>
            <a:ln>
              <a:noFill/>
            </a:ln>
            <a:effectLst/>
            <a:sp3d/>
          </c:spPr>
          <c:invertIfNegative val="0"/>
          <c:cat>
            <c:strRef>
              <c:f>'Super Raids And Tackles'!$A$4:$A$12</c:f>
              <c:strCache>
                <c:ptCount val="8"/>
                <c:pt idx="0">
                  <c:v>Bengal Warriors</c:v>
                </c:pt>
                <c:pt idx="1">
                  <c:v>Bengaluru Bulls</c:v>
                </c:pt>
                <c:pt idx="2">
                  <c:v>Dabang Delhi K.C.</c:v>
                </c:pt>
                <c:pt idx="3">
                  <c:v>Jaipur Pink Panthers</c:v>
                </c:pt>
                <c:pt idx="4">
                  <c:v>Patna Pirates</c:v>
                </c:pt>
                <c:pt idx="5">
                  <c:v>Puneri Paltan</c:v>
                </c:pt>
                <c:pt idx="6">
                  <c:v>Telugu Titans</c:v>
                </c:pt>
                <c:pt idx="7">
                  <c:v>U Mumba</c:v>
                </c:pt>
              </c:strCache>
            </c:strRef>
          </c:cat>
          <c:val>
            <c:numRef>
              <c:f>'Super Raids And Tackles'!$C$4:$C$12</c:f>
              <c:numCache>
                <c:formatCode>General</c:formatCode>
                <c:ptCount val="8"/>
                <c:pt idx="0">
                  <c:v>16</c:v>
                </c:pt>
                <c:pt idx="1">
                  <c:v>10</c:v>
                </c:pt>
                <c:pt idx="2">
                  <c:v>10</c:v>
                </c:pt>
                <c:pt idx="3">
                  <c:v>12</c:v>
                </c:pt>
                <c:pt idx="4">
                  <c:v>18</c:v>
                </c:pt>
                <c:pt idx="5">
                  <c:v>14</c:v>
                </c:pt>
                <c:pt idx="6">
                  <c:v>8</c:v>
                </c:pt>
                <c:pt idx="7">
                  <c:v>12</c:v>
                </c:pt>
              </c:numCache>
            </c:numRef>
          </c:val>
          <c:extLst>
            <c:ext xmlns:c16="http://schemas.microsoft.com/office/drawing/2014/chart" uri="{C3380CC4-5D6E-409C-BE32-E72D297353CC}">
              <c16:uniqueId val="{00000001-75DE-4B74-89CB-77C14AE38E5E}"/>
            </c:ext>
          </c:extLst>
        </c:ser>
        <c:dLbls>
          <c:showLegendKey val="0"/>
          <c:showVal val="0"/>
          <c:showCatName val="0"/>
          <c:showSerName val="0"/>
          <c:showPercent val="0"/>
          <c:showBubbleSize val="0"/>
        </c:dLbls>
        <c:gapWidth val="150"/>
        <c:shape val="box"/>
        <c:axId val="1654866543"/>
        <c:axId val="923929647"/>
        <c:axId val="0"/>
      </c:bar3DChart>
      <c:catAx>
        <c:axId val="1654866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923929647"/>
        <c:crosses val="autoZero"/>
        <c:auto val="1"/>
        <c:lblAlgn val="ctr"/>
        <c:lblOffset val="100"/>
        <c:noMultiLvlLbl val="0"/>
      </c:catAx>
      <c:valAx>
        <c:axId val="923929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86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[PKL analysis Dashboard.xlsx]Wins!PivotTable3</c:name>
    <c:fmtId val="3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pieChart>
        <c:varyColors val="1"/>
        <c:ser>
          <c:idx val="0"/>
          <c:order val="0"/>
          <c:tx>
            <c:strRef>
              <c:f>Wins!$B$3:$B$4</c:f>
              <c:strCache>
                <c:ptCount val="1"/>
                <c:pt idx="0">
                  <c:v> Season 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2E-4E67-A366-16169B93D0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2E-4E67-A366-16169B93D0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62E-4E67-A366-16169B93D0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62E-4E67-A366-16169B93D0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62E-4E67-A366-16169B93D0F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62E-4E67-A366-16169B93D0F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62E-4E67-A366-16169B93D0F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62E-4E67-A366-16169B93D0F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62E-4E67-A366-16169B93D0F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62E-4E67-A366-16169B93D0F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62E-4E67-A366-16169B93D0F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62E-4E67-A366-16169B93D0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Wins!$A$5:$A$13</c:f>
              <c:strCache>
                <c:ptCount val="8"/>
                <c:pt idx="0">
                  <c:v>Jaipur Pink Panthers</c:v>
                </c:pt>
                <c:pt idx="1">
                  <c:v>U Mumba</c:v>
                </c:pt>
                <c:pt idx="2">
                  <c:v>Bengaluru Bulls</c:v>
                </c:pt>
                <c:pt idx="3">
                  <c:v>Patna Pirates</c:v>
                </c:pt>
                <c:pt idx="4">
                  <c:v>Telugu Titans</c:v>
                </c:pt>
                <c:pt idx="5">
                  <c:v>Dabang Delhi K.C.</c:v>
                </c:pt>
                <c:pt idx="6">
                  <c:v>Bengal Warriors</c:v>
                </c:pt>
                <c:pt idx="7">
                  <c:v>Puneri Paltan</c:v>
                </c:pt>
              </c:strCache>
            </c:strRef>
          </c:cat>
          <c:val>
            <c:numRef>
              <c:f>Wins!$B$5:$B$13</c:f>
              <c:numCache>
                <c:formatCode>General</c:formatCode>
                <c:ptCount val="8"/>
                <c:pt idx="0">
                  <c:v>12</c:v>
                </c:pt>
                <c:pt idx="1">
                  <c:v>9</c:v>
                </c:pt>
                <c:pt idx="2">
                  <c:v>8</c:v>
                </c:pt>
                <c:pt idx="3">
                  <c:v>8</c:v>
                </c:pt>
                <c:pt idx="4">
                  <c:v>6</c:v>
                </c:pt>
                <c:pt idx="5">
                  <c:v>5</c:v>
                </c:pt>
                <c:pt idx="6">
                  <c:v>4</c:v>
                </c:pt>
                <c:pt idx="7">
                  <c:v>2</c:v>
                </c:pt>
              </c:numCache>
            </c:numRef>
          </c:val>
          <c:extLst>
            <c:ext xmlns:c16="http://schemas.microsoft.com/office/drawing/2014/chart" uri="{C3380CC4-5D6E-409C-BE32-E72D297353CC}">
              <c16:uniqueId val="{00000000-40F4-477F-A614-FF260D1B95A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[PKL analysis Dashboard.xlsx]team performance!PivotTable4</c:name>
    <c:fmtId val="0"/>
  </c:pivotSource>
  <c:chart>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'team performance'!$B$3</c:f>
              <c:strCache>
                <c:ptCount val="1"/>
                <c:pt idx="0">
                  <c:v>Average of success_raid_percent</c:v>
                </c:pt>
              </c:strCache>
            </c:strRef>
          </c:tx>
          <c:spPr>
            <a:ln w="28575" cap="rnd">
              <a:solidFill>
                <a:schemeClr val="accent2"/>
              </a:solidFill>
              <a:round/>
            </a:ln>
            <a:effectLst/>
          </c:spPr>
          <c:marker>
            <c:symbol val="none"/>
          </c:marker>
          <c:cat>
            <c:strRef>
              <c:f>'team performance'!$A$4:$A$12</c:f>
              <c:strCache>
                <c:ptCount val="8"/>
                <c:pt idx="0">
                  <c:v>Bengal Warriors</c:v>
                </c:pt>
                <c:pt idx="1">
                  <c:v>Bengaluru Bulls</c:v>
                </c:pt>
                <c:pt idx="2">
                  <c:v>Dabang Delhi K.C.</c:v>
                </c:pt>
                <c:pt idx="3">
                  <c:v>Jaipur Pink Panthers</c:v>
                </c:pt>
                <c:pt idx="4">
                  <c:v>Patna Pirates</c:v>
                </c:pt>
                <c:pt idx="5">
                  <c:v>Puneri Paltan</c:v>
                </c:pt>
                <c:pt idx="6">
                  <c:v>Telugu Titans</c:v>
                </c:pt>
                <c:pt idx="7">
                  <c:v>U Mumba</c:v>
                </c:pt>
              </c:strCache>
            </c:strRef>
          </c:cat>
          <c:val>
            <c:numRef>
              <c:f>'team performance'!$B$4:$B$12</c:f>
              <c:numCache>
                <c:formatCode>0.00</c:formatCode>
                <c:ptCount val="8"/>
                <c:pt idx="0">
                  <c:v>52</c:v>
                </c:pt>
                <c:pt idx="1">
                  <c:v>45</c:v>
                </c:pt>
                <c:pt idx="2">
                  <c:v>51</c:v>
                </c:pt>
                <c:pt idx="3">
                  <c:v>55</c:v>
                </c:pt>
                <c:pt idx="4">
                  <c:v>50</c:v>
                </c:pt>
                <c:pt idx="5">
                  <c:v>49</c:v>
                </c:pt>
                <c:pt idx="6">
                  <c:v>59</c:v>
                </c:pt>
                <c:pt idx="7">
                  <c:v>56</c:v>
                </c:pt>
              </c:numCache>
            </c:numRef>
          </c:val>
          <c:smooth val="0"/>
          <c:extLst>
            <c:ext xmlns:c16="http://schemas.microsoft.com/office/drawing/2014/chart" uri="{C3380CC4-5D6E-409C-BE32-E72D297353CC}">
              <c16:uniqueId val="{00000000-1C9A-40C7-B21A-800A9C5AB713}"/>
            </c:ext>
          </c:extLst>
        </c:ser>
        <c:ser>
          <c:idx val="1"/>
          <c:order val="1"/>
          <c:tx>
            <c:strRef>
              <c:f>'team performance'!$C$3</c:f>
              <c:strCache>
                <c:ptCount val="1"/>
                <c:pt idx="0">
                  <c:v>Average of tackle_success_rate</c:v>
                </c:pt>
              </c:strCache>
            </c:strRef>
          </c:tx>
          <c:spPr>
            <a:ln w="28575" cap="rnd">
              <a:solidFill>
                <a:schemeClr val="accent4"/>
              </a:solidFill>
              <a:round/>
            </a:ln>
            <a:effectLst/>
          </c:spPr>
          <c:marker>
            <c:symbol val="none"/>
          </c:marker>
          <c:cat>
            <c:strRef>
              <c:f>'team performance'!$A$4:$A$12</c:f>
              <c:strCache>
                <c:ptCount val="8"/>
                <c:pt idx="0">
                  <c:v>Bengal Warriors</c:v>
                </c:pt>
                <c:pt idx="1">
                  <c:v>Bengaluru Bulls</c:v>
                </c:pt>
                <c:pt idx="2">
                  <c:v>Dabang Delhi K.C.</c:v>
                </c:pt>
                <c:pt idx="3">
                  <c:v>Jaipur Pink Panthers</c:v>
                </c:pt>
                <c:pt idx="4">
                  <c:v>Patna Pirates</c:v>
                </c:pt>
                <c:pt idx="5">
                  <c:v>Puneri Paltan</c:v>
                </c:pt>
                <c:pt idx="6">
                  <c:v>Telugu Titans</c:v>
                </c:pt>
                <c:pt idx="7">
                  <c:v>U Mumba</c:v>
                </c:pt>
              </c:strCache>
            </c:strRef>
          </c:cat>
          <c:val>
            <c:numRef>
              <c:f>'team performance'!$C$4:$C$12</c:f>
              <c:numCache>
                <c:formatCode>0.00</c:formatCode>
                <c:ptCount val="8"/>
                <c:pt idx="0">
                  <c:v>32</c:v>
                </c:pt>
                <c:pt idx="1">
                  <c:v>46</c:v>
                </c:pt>
                <c:pt idx="2">
                  <c:v>36</c:v>
                </c:pt>
                <c:pt idx="3">
                  <c:v>42</c:v>
                </c:pt>
                <c:pt idx="4">
                  <c:v>37</c:v>
                </c:pt>
                <c:pt idx="5">
                  <c:v>29</c:v>
                </c:pt>
                <c:pt idx="6">
                  <c:v>31</c:v>
                </c:pt>
                <c:pt idx="7">
                  <c:v>38</c:v>
                </c:pt>
              </c:numCache>
            </c:numRef>
          </c:val>
          <c:smooth val="0"/>
          <c:extLst>
            <c:ext xmlns:c16="http://schemas.microsoft.com/office/drawing/2014/chart" uri="{C3380CC4-5D6E-409C-BE32-E72D297353CC}">
              <c16:uniqueId val="{00000001-1C9A-40C7-B21A-800A9C5AB713}"/>
            </c:ext>
          </c:extLst>
        </c:ser>
        <c:dLbls>
          <c:showLegendKey val="0"/>
          <c:showVal val="0"/>
          <c:showCatName val="0"/>
          <c:showSerName val="0"/>
          <c:showPercent val="0"/>
          <c:showBubbleSize val="0"/>
        </c:dLbls>
        <c:smooth val="0"/>
        <c:axId val="196907536"/>
        <c:axId val="1384865904"/>
      </c:lineChart>
      <c:catAx>
        <c:axId val="19690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4865904"/>
        <c:crosses val="autoZero"/>
        <c:auto val="1"/>
        <c:lblAlgn val="ctr"/>
        <c:lblOffset val="100"/>
        <c:noMultiLvlLbl val="0"/>
      </c:catAx>
      <c:valAx>
        <c:axId val="13848659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690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[PKL analysis Dashboard.xlsx]Team Stats!PivotTable6</c:name>
    <c:fmtId val="0"/>
  </c:pivotSource>
  <c:chart>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'Team Stats'!$B$3</c:f>
              <c:strCache>
                <c:ptCount val="1"/>
                <c:pt idx="0">
                  <c:v>Sum of wins</c:v>
                </c:pt>
              </c:strCache>
            </c:strRef>
          </c:tx>
          <c:spPr>
            <a:solidFill>
              <a:schemeClr val="accent2">
                <a:shade val="65000"/>
              </a:schemeClr>
            </a:solidFill>
            <a:ln>
              <a:noFill/>
            </a:ln>
            <a:effectLst/>
            <a:sp3d/>
          </c:spPr>
          <c:invertIfNegative val="0"/>
          <c:cat>
            <c:strRef>
              <c:f>'Team Stats'!$A$4:$A$12</c:f>
              <c:strCache>
                <c:ptCount val="8"/>
                <c:pt idx="0">
                  <c:v>Bengal Warriors</c:v>
                </c:pt>
                <c:pt idx="1">
                  <c:v>Bengaluru Bulls</c:v>
                </c:pt>
                <c:pt idx="2">
                  <c:v>Dabang Delhi K.C.</c:v>
                </c:pt>
                <c:pt idx="3">
                  <c:v>Jaipur Pink Panthers</c:v>
                </c:pt>
                <c:pt idx="4">
                  <c:v>Patna Pirates</c:v>
                </c:pt>
                <c:pt idx="5">
                  <c:v>Puneri Paltan</c:v>
                </c:pt>
                <c:pt idx="6">
                  <c:v>Telugu Titans</c:v>
                </c:pt>
                <c:pt idx="7">
                  <c:v>U Mumba</c:v>
                </c:pt>
              </c:strCache>
            </c:strRef>
          </c:cat>
          <c:val>
            <c:numRef>
              <c:f>'Team Stats'!$B$4:$B$12</c:f>
              <c:numCache>
                <c:formatCode>General</c:formatCode>
                <c:ptCount val="8"/>
                <c:pt idx="0">
                  <c:v>4</c:v>
                </c:pt>
                <c:pt idx="1">
                  <c:v>8</c:v>
                </c:pt>
                <c:pt idx="2">
                  <c:v>5</c:v>
                </c:pt>
                <c:pt idx="3">
                  <c:v>12</c:v>
                </c:pt>
                <c:pt idx="4">
                  <c:v>8</c:v>
                </c:pt>
                <c:pt idx="5">
                  <c:v>2</c:v>
                </c:pt>
                <c:pt idx="6">
                  <c:v>6</c:v>
                </c:pt>
                <c:pt idx="7">
                  <c:v>9</c:v>
                </c:pt>
              </c:numCache>
            </c:numRef>
          </c:val>
          <c:extLst>
            <c:ext xmlns:c16="http://schemas.microsoft.com/office/drawing/2014/chart" uri="{C3380CC4-5D6E-409C-BE32-E72D297353CC}">
              <c16:uniqueId val="{00000000-DD7B-4540-81BB-583D09AA818D}"/>
            </c:ext>
          </c:extLst>
        </c:ser>
        <c:ser>
          <c:idx val="1"/>
          <c:order val="1"/>
          <c:tx>
            <c:strRef>
              <c:f>'Team Stats'!$C$3</c:f>
              <c:strCache>
                <c:ptCount val="1"/>
                <c:pt idx="0">
                  <c:v>Sum of losses</c:v>
                </c:pt>
              </c:strCache>
            </c:strRef>
          </c:tx>
          <c:spPr>
            <a:solidFill>
              <a:schemeClr val="accent2"/>
            </a:solidFill>
            <a:ln>
              <a:noFill/>
            </a:ln>
            <a:effectLst/>
            <a:sp3d/>
          </c:spPr>
          <c:invertIfNegative val="0"/>
          <c:cat>
            <c:strRef>
              <c:f>'Team Stats'!$A$4:$A$12</c:f>
              <c:strCache>
                <c:ptCount val="8"/>
                <c:pt idx="0">
                  <c:v>Bengal Warriors</c:v>
                </c:pt>
                <c:pt idx="1">
                  <c:v>Bengaluru Bulls</c:v>
                </c:pt>
                <c:pt idx="2">
                  <c:v>Dabang Delhi K.C.</c:v>
                </c:pt>
                <c:pt idx="3">
                  <c:v>Jaipur Pink Panthers</c:v>
                </c:pt>
                <c:pt idx="4">
                  <c:v>Patna Pirates</c:v>
                </c:pt>
                <c:pt idx="5">
                  <c:v>Puneri Paltan</c:v>
                </c:pt>
                <c:pt idx="6">
                  <c:v>Telugu Titans</c:v>
                </c:pt>
                <c:pt idx="7">
                  <c:v>U Mumba</c:v>
                </c:pt>
              </c:strCache>
            </c:strRef>
          </c:cat>
          <c:val>
            <c:numRef>
              <c:f>'Team Stats'!$C$4:$C$12</c:f>
              <c:numCache>
                <c:formatCode>General</c:formatCode>
                <c:ptCount val="8"/>
                <c:pt idx="0">
                  <c:v>9</c:v>
                </c:pt>
                <c:pt idx="1">
                  <c:v>7</c:v>
                </c:pt>
                <c:pt idx="2">
                  <c:v>8</c:v>
                </c:pt>
                <c:pt idx="3">
                  <c:v>3</c:v>
                </c:pt>
                <c:pt idx="4">
                  <c:v>6</c:v>
                </c:pt>
                <c:pt idx="5">
                  <c:v>12</c:v>
                </c:pt>
                <c:pt idx="6">
                  <c:v>5</c:v>
                </c:pt>
                <c:pt idx="7">
                  <c:v>4</c:v>
                </c:pt>
              </c:numCache>
            </c:numRef>
          </c:val>
          <c:extLst>
            <c:ext xmlns:c16="http://schemas.microsoft.com/office/drawing/2014/chart" uri="{C3380CC4-5D6E-409C-BE32-E72D297353CC}">
              <c16:uniqueId val="{00000001-DD7B-4540-81BB-583D09AA818D}"/>
            </c:ext>
          </c:extLst>
        </c:ser>
        <c:ser>
          <c:idx val="2"/>
          <c:order val="2"/>
          <c:tx>
            <c:strRef>
              <c:f>'Team Stats'!$D$3</c:f>
              <c:strCache>
                <c:ptCount val="1"/>
                <c:pt idx="0">
                  <c:v>Sum of draws</c:v>
                </c:pt>
              </c:strCache>
            </c:strRef>
          </c:tx>
          <c:spPr>
            <a:solidFill>
              <a:schemeClr val="accent2">
                <a:tint val="65000"/>
              </a:schemeClr>
            </a:solidFill>
            <a:ln>
              <a:noFill/>
            </a:ln>
            <a:effectLst/>
            <a:sp3d/>
          </c:spPr>
          <c:invertIfNegative val="0"/>
          <c:cat>
            <c:strRef>
              <c:f>'Team Stats'!$A$4:$A$12</c:f>
              <c:strCache>
                <c:ptCount val="8"/>
                <c:pt idx="0">
                  <c:v>Bengal Warriors</c:v>
                </c:pt>
                <c:pt idx="1">
                  <c:v>Bengaluru Bulls</c:v>
                </c:pt>
                <c:pt idx="2">
                  <c:v>Dabang Delhi K.C.</c:v>
                </c:pt>
                <c:pt idx="3">
                  <c:v>Jaipur Pink Panthers</c:v>
                </c:pt>
                <c:pt idx="4">
                  <c:v>Patna Pirates</c:v>
                </c:pt>
                <c:pt idx="5">
                  <c:v>Puneri Paltan</c:v>
                </c:pt>
                <c:pt idx="6">
                  <c:v>Telugu Titans</c:v>
                </c:pt>
                <c:pt idx="7">
                  <c:v>U Mumba</c:v>
                </c:pt>
              </c:strCache>
            </c:strRef>
          </c:cat>
          <c:val>
            <c:numRef>
              <c:f>'Team Stats'!$D$4:$D$12</c:f>
              <c:numCache>
                <c:formatCode>General</c:formatCode>
                <c:ptCount val="8"/>
                <c:pt idx="0">
                  <c:v>1</c:v>
                </c:pt>
                <c:pt idx="1">
                  <c:v>1</c:v>
                </c:pt>
                <c:pt idx="2">
                  <c:v>1</c:v>
                </c:pt>
                <c:pt idx="3">
                  <c:v>1</c:v>
                </c:pt>
                <c:pt idx="4">
                  <c:v>2</c:v>
                </c:pt>
                <c:pt idx="5">
                  <c:v>0</c:v>
                </c:pt>
                <c:pt idx="6">
                  <c:v>3</c:v>
                </c:pt>
                <c:pt idx="7">
                  <c:v>3</c:v>
                </c:pt>
              </c:numCache>
            </c:numRef>
          </c:val>
          <c:extLst>
            <c:ext xmlns:c16="http://schemas.microsoft.com/office/drawing/2014/chart" uri="{C3380CC4-5D6E-409C-BE32-E72D297353CC}">
              <c16:uniqueId val="{00000002-DD7B-4540-81BB-583D09AA818D}"/>
            </c:ext>
          </c:extLst>
        </c:ser>
        <c:dLbls>
          <c:showLegendKey val="0"/>
          <c:showVal val="0"/>
          <c:showCatName val="0"/>
          <c:showSerName val="0"/>
          <c:showPercent val="0"/>
          <c:showBubbleSize val="0"/>
        </c:dLbls>
        <c:gapWidth val="150"/>
        <c:shape val="box"/>
        <c:axId val="351734256"/>
        <c:axId val="1384915344"/>
        <c:axId val="0"/>
      </c:bar3DChart>
      <c:catAx>
        <c:axId val="351734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4915344"/>
        <c:crosses val="autoZero"/>
        <c:auto val="1"/>
        <c:lblAlgn val="ctr"/>
        <c:lblOffset val="100"/>
        <c:noMultiLvlLbl val="0"/>
      </c:catAx>
      <c:valAx>
        <c:axId val="138491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173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[PKL analysis Dashboard.xlsx]Team Stats!PivotTable6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bg1"/>
                </a:solidFill>
                <a:latin typeface="Times New Roman" panose="02020603050405020304" pitchFamily="18" charset="0"/>
                <a:cs typeface="Times New Roman" panose="02020603050405020304" pitchFamily="18" charset="0"/>
              </a:rPr>
              <a:t>Team Stats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'Team Stats'!$B$3</c:f>
              <c:strCache>
                <c:ptCount val="1"/>
                <c:pt idx="0">
                  <c:v>Sum of wins</c:v>
                </c:pt>
              </c:strCache>
            </c:strRef>
          </c:tx>
          <c:spPr>
            <a:solidFill>
              <a:schemeClr val="accent2">
                <a:shade val="6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Stats'!$A$4:$A$12</c:f>
              <c:strCache>
                <c:ptCount val="8"/>
                <c:pt idx="0">
                  <c:v>Bengal Warriors</c:v>
                </c:pt>
                <c:pt idx="1">
                  <c:v>Bengaluru Bulls</c:v>
                </c:pt>
                <c:pt idx="2">
                  <c:v>Dabang Delhi K.C.</c:v>
                </c:pt>
                <c:pt idx="3">
                  <c:v>Jaipur Pink Panthers</c:v>
                </c:pt>
                <c:pt idx="4">
                  <c:v>Patna Pirates</c:v>
                </c:pt>
                <c:pt idx="5">
                  <c:v>Puneri Paltan</c:v>
                </c:pt>
                <c:pt idx="6">
                  <c:v>Telugu Titans</c:v>
                </c:pt>
                <c:pt idx="7">
                  <c:v>U Mumba</c:v>
                </c:pt>
              </c:strCache>
            </c:strRef>
          </c:cat>
          <c:val>
            <c:numRef>
              <c:f>'Team Stats'!$B$4:$B$12</c:f>
              <c:numCache>
                <c:formatCode>General</c:formatCode>
                <c:ptCount val="8"/>
                <c:pt idx="0">
                  <c:v>4</c:v>
                </c:pt>
                <c:pt idx="1">
                  <c:v>8</c:v>
                </c:pt>
                <c:pt idx="2">
                  <c:v>5</c:v>
                </c:pt>
                <c:pt idx="3">
                  <c:v>12</c:v>
                </c:pt>
                <c:pt idx="4">
                  <c:v>8</c:v>
                </c:pt>
                <c:pt idx="5">
                  <c:v>2</c:v>
                </c:pt>
                <c:pt idx="6">
                  <c:v>6</c:v>
                </c:pt>
                <c:pt idx="7">
                  <c:v>9</c:v>
                </c:pt>
              </c:numCache>
            </c:numRef>
          </c:val>
          <c:extLst>
            <c:ext xmlns:c16="http://schemas.microsoft.com/office/drawing/2014/chart" uri="{C3380CC4-5D6E-409C-BE32-E72D297353CC}">
              <c16:uniqueId val="{00000000-22B9-488B-800E-E6223D2CED60}"/>
            </c:ext>
          </c:extLst>
        </c:ser>
        <c:ser>
          <c:idx val="1"/>
          <c:order val="1"/>
          <c:tx>
            <c:strRef>
              <c:f>'Team Stats'!$C$3</c:f>
              <c:strCache>
                <c:ptCount val="1"/>
                <c:pt idx="0">
                  <c:v>Sum of losses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Stats'!$A$4:$A$12</c:f>
              <c:strCache>
                <c:ptCount val="8"/>
                <c:pt idx="0">
                  <c:v>Bengal Warriors</c:v>
                </c:pt>
                <c:pt idx="1">
                  <c:v>Bengaluru Bulls</c:v>
                </c:pt>
                <c:pt idx="2">
                  <c:v>Dabang Delhi K.C.</c:v>
                </c:pt>
                <c:pt idx="3">
                  <c:v>Jaipur Pink Panthers</c:v>
                </c:pt>
                <c:pt idx="4">
                  <c:v>Patna Pirates</c:v>
                </c:pt>
                <c:pt idx="5">
                  <c:v>Puneri Paltan</c:v>
                </c:pt>
                <c:pt idx="6">
                  <c:v>Telugu Titans</c:v>
                </c:pt>
                <c:pt idx="7">
                  <c:v>U Mumba</c:v>
                </c:pt>
              </c:strCache>
            </c:strRef>
          </c:cat>
          <c:val>
            <c:numRef>
              <c:f>'Team Stats'!$C$4:$C$12</c:f>
              <c:numCache>
                <c:formatCode>General</c:formatCode>
                <c:ptCount val="8"/>
                <c:pt idx="0">
                  <c:v>9</c:v>
                </c:pt>
                <c:pt idx="1">
                  <c:v>7</c:v>
                </c:pt>
                <c:pt idx="2">
                  <c:v>8</c:v>
                </c:pt>
                <c:pt idx="3">
                  <c:v>3</c:v>
                </c:pt>
                <c:pt idx="4">
                  <c:v>6</c:v>
                </c:pt>
                <c:pt idx="5">
                  <c:v>12</c:v>
                </c:pt>
                <c:pt idx="6">
                  <c:v>5</c:v>
                </c:pt>
                <c:pt idx="7">
                  <c:v>4</c:v>
                </c:pt>
              </c:numCache>
            </c:numRef>
          </c:val>
          <c:extLst>
            <c:ext xmlns:c16="http://schemas.microsoft.com/office/drawing/2014/chart" uri="{C3380CC4-5D6E-409C-BE32-E72D297353CC}">
              <c16:uniqueId val="{00000001-22B9-488B-800E-E6223D2CED60}"/>
            </c:ext>
          </c:extLst>
        </c:ser>
        <c:ser>
          <c:idx val="2"/>
          <c:order val="2"/>
          <c:tx>
            <c:strRef>
              <c:f>'Team Stats'!$D$3</c:f>
              <c:strCache>
                <c:ptCount val="1"/>
                <c:pt idx="0">
                  <c:v>Sum of draws</c:v>
                </c:pt>
              </c:strCache>
            </c:strRef>
          </c:tx>
          <c:spPr>
            <a:solidFill>
              <a:schemeClr val="accent2">
                <a:tint val="6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Stats'!$A$4:$A$12</c:f>
              <c:strCache>
                <c:ptCount val="8"/>
                <c:pt idx="0">
                  <c:v>Bengal Warriors</c:v>
                </c:pt>
                <c:pt idx="1">
                  <c:v>Bengaluru Bulls</c:v>
                </c:pt>
                <c:pt idx="2">
                  <c:v>Dabang Delhi K.C.</c:v>
                </c:pt>
                <c:pt idx="3">
                  <c:v>Jaipur Pink Panthers</c:v>
                </c:pt>
                <c:pt idx="4">
                  <c:v>Patna Pirates</c:v>
                </c:pt>
                <c:pt idx="5">
                  <c:v>Puneri Paltan</c:v>
                </c:pt>
                <c:pt idx="6">
                  <c:v>Telugu Titans</c:v>
                </c:pt>
                <c:pt idx="7">
                  <c:v>U Mumba</c:v>
                </c:pt>
              </c:strCache>
            </c:strRef>
          </c:cat>
          <c:val>
            <c:numRef>
              <c:f>'Team Stats'!$D$4:$D$12</c:f>
              <c:numCache>
                <c:formatCode>General</c:formatCode>
                <c:ptCount val="8"/>
                <c:pt idx="0">
                  <c:v>1</c:v>
                </c:pt>
                <c:pt idx="1">
                  <c:v>1</c:v>
                </c:pt>
                <c:pt idx="2">
                  <c:v>1</c:v>
                </c:pt>
                <c:pt idx="3">
                  <c:v>1</c:v>
                </c:pt>
                <c:pt idx="4">
                  <c:v>2</c:v>
                </c:pt>
                <c:pt idx="5">
                  <c:v>0</c:v>
                </c:pt>
                <c:pt idx="6">
                  <c:v>3</c:v>
                </c:pt>
                <c:pt idx="7">
                  <c:v>3</c:v>
                </c:pt>
              </c:numCache>
            </c:numRef>
          </c:val>
          <c:extLst>
            <c:ext xmlns:c16="http://schemas.microsoft.com/office/drawing/2014/chart" uri="{C3380CC4-5D6E-409C-BE32-E72D297353CC}">
              <c16:uniqueId val="{00000002-22B9-488B-800E-E6223D2CED60}"/>
            </c:ext>
          </c:extLst>
        </c:ser>
        <c:dLbls>
          <c:showLegendKey val="0"/>
          <c:showVal val="1"/>
          <c:showCatName val="0"/>
          <c:showSerName val="0"/>
          <c:showPercent val="0"/>
          <c:showBubbleSize val="0"/>
        </c:dLbls>
        <c:gapWidth val="150"/>
        <c:shape val="box"/>
        <c:axId val="351734256"/>
        <c:axId val="1384915344"/>
        <c:axId val="0"/>
      </c:bar3DChart>
      <c:catAx>
        <c:axId val="351734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4915344"/>
        <c:crosses val="autoZero"/>
        <c:auto val="1"/>
        <c:lblAlgn val="ctr"/>
        <c:lblOffset val="100"/>
        <c:noMultiLvlLbl val="0"/>
      </c:catAx>
      <c:valAx>
        <c:axId val="138491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173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[PKL analysis Dashboard.xlsx]Wins!PivotTable3</c:name>
    <c:fmtId val="45"/>
  </c:pivotSource>
  <c:chart>
    <c:title>
      <c:tx>
        <c:rich>
          <a:bodyPr rot="0" spcFirstLastPara="1" vertOverflow="ellipsis" vert="horz" wrap="square" anchor="ctr" anchorCtr="1"/>
          <a:lstStyle/>
          <a:p>
            <a:pPr>
              <a:defRPr sz="20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sz="2000" b="1">
                <a:latin typeface="Times New Roman" panose="02020603050405020304" pitchFamily="18" charset="0"/>
                <a:cs typeface="Times New Roman" panose="02020603050405020304" pitchFamily="18" charset="0"/>
              </a:rPr>
              <a:t>Team Wins of</a:t>
            </a:r>
            <a:r>
              <a:rPr lang="en-US" sz="2000" b="1" baseline="0">
                <a:latin typeface="Times New Roman" panose="02020603050405020304" pitchFamily="18" charset="0"/>
                <a:cs typeface="Times New Roman" panose="02020603050405020304" pitchFamily="18" charset="0"/>
              </a:rPr>
              <a:t> </a:t>
            </a:r>
            <a:r>
              <a:rPr lang="en-US" sz="2000" b="1">
                <a:latin typeface="Times New Roman" panose="02020603050405020304" pitchFamily="18" charset="0"/>
                <a:cs typeface="Times New Roman" panose="02020603050405020304" pitchFamily="18" charset="0"/>
              </a:rPr>
              <a:t>Season 1</a:t>
            </a:r>
          </a:p>
        </c:rich>
      </c:tx>
      <c:layout>
        <c:manualLayout>
          <c:xMode val="edge"/>
          <c:yMode val="edge"/>
          <c:x val="0.27961236983450644"/>
          <c:y val="2.739430543572045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s>
    <c:plotArea>
      <c:layout/>
      <c:pieChart>
        <c:varyColors val="1"/>
        <c:ser>
          <c:idx val="0"/>
          <c:order val="0"/>
          <c:tx>
            <c:strRef>
              <c:f>Wins!$B$3:$B$4</c:f>
              <c:strCache>
                <c:ptCount val="1"/>
                <c:pt idx="0">
                  <c:v> Season 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54-4C77-9F07-EC4A649737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54-4C77-9F07-EC4A649737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54-4C77-9F07-EC4A649737E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B54-4C77-9F07-EC4A649737E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B54-4C77-9F07-EC4A649737E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B54-4C77-9F07-EC4A649737E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B54-4C77-9F07-EC4A649737E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B54-4C77-9F07-EC4A649737E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B54-4C77-9F07-EC4A649737E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B54-4C77-9F07-EC4A649737E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B54-4C77-9F07-EC4A649737E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B54-4C77-9F07-EC4A649737E9}"/>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Wins!$A$5:$A$13</c:f>
              <c:strCache>
                <c:ptCount val="8"/>
                <c:pt idx="0">
                  <c:v>Jaipur Pink Panthers</c:v>
                </c:pt>
                <c:pt idx="1">
                  <c:v>U Mumba</c:v>
                </c:pt>
                <c:pt idx="2">
                  <c:v>Bengaluru Bulls</c:v>
                </c:pt>
                <c:pt idx="3">
                  <c:v>Patna Pirates</c:v>
                </c:pt>
                <c:pt idx="4">
                  <c:v>Telugu Titans</c:v>
                </c:pt>
                <c:pt idx="5">
                  <c:v>Dabang Delhi K.C.</c:v>
                </c:pt>
                <c:pt idx="6">
                  <c:v>Bengal Warriors</c:v>
                </c:pt>
                <c:pt idx="7">
                  <c:v>Puneri Paltan</c:v>
                </c:pt>
              </c:strCache>
            </c:strRef>
          </c:cat>
          <c:val>
            <c:numRef>
              <c:f>Wins!$B$5:$B$13</c:f>
              <c:numCache>
                <c:formatCode>General</c:formatCode>
                <c:ptCount val="8"/>
                <c:pt idx="0">
                  <c:v>12</c:v>
                </c:pt>
                <c:pt idx="1">
                  <c:v>9</c:v>
                </c:pt>
                <c:pt idx="2">
                  <c:v>8</c:v>
                </c:pt>
                <c:pt idx="3">
                  <c:v>8</c:v>
                </c:pt>
                <c:pt idx="4">
                  <c:v>6</c:v>
                </c:pt>
                <c:pt idx="5">
                  <c:v>5</c:v>
                </c:pt>
                <c:pt idx="6">
                  <c:v>4</c:v>
                </c:pt>
                <c:pt idx="7">
                  <c:v>2</c:v>
                </c:pt>
              </c:numCache>
            </c:numRef>
          </c:val>
          <c:extLst>
            <c:ext xmlns:c16="http://schemas.microsoft.com/office/drawing/2014/chart" uri="{C3380CC4-5D6E-409C-BE32-E72D297353CC}">
              <c16:uniqueId val="{00000018-2B54-4C77-9F07-EC4A649737E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[PKL analysis Dashboard.xlsx]team performance!PivotTable4</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2000" b="1">
                <a:latin typeface="Times New Roman" panose="02020603050405020304" pitchFamily="18" charset="0"/>
                <a:cs typeface="Times New Roman" panose="02020603050405020304" pitchFamily="18" charset="0"/>
              </a:rPr>
              <a:t>Strong</a:t>
            </a:r>
            <a:r>
              <a:rPr lang="en-IN" sz="2000" b="1" baseline="0">
                <a:latin typeface="Times New Roman" panose="02020603050405020304" pitchFamily="18" charset="0"/>
                <a:cs typeface="Times New Roman" panose="02020603050405020304" pitchFamily="18" charset="0"/>
              </a:rPr>
              <a:t> Sides Of  Teams</a:t>
            </a:r>
            <a:endParaRPr lang="en-IN" sz="2000" b="1">
              <a:latin typeface="Times New Roman" panose="02020603050405020304" pitchFamily="18" charset="0"/>
              <a:cs typeface="Times New Roman" panose="02020603050405020304" pitchFamily="18" charset="0"/>
            </a:endParaRPr>
          </a:p>
        </c:rich>
      </c:tx>
      <c:layout>
        <c:manualLayout>
          <c:xMode val="edge"/>
          <c:yMode val="edge"/>
          <c:x val="0.26252338032062533"/>
          <c:y val="1.85672514619883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layout>
            <c:manualLayout>
              <c:x val="-4.4300250300786104E-2"/>
              <c:y val="3.51467334885243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4.4300250300786104E-2"/>
              <c:y val="-7.18912099573943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24735171656326"/>
          <c:y val="0.11657626705653022"/>
          <c:w val="0.54114471981885781"/>
          <c:h val="0.63555482456140355"/>
        </c:manualLayout>
      </c:layout>
      <c:lineChart>
        <c:grouping val="standard"/>
        <c:varyColors val="0"/>
        <c:ser>
          <c:idx val="0"/>
          <c:order val="0"/>
          <c:tx>
            <c:strRef>
              <c:f>'team performance'!$B$3</c:f>
              <c:strCache>
                <c:ptCount val="1"/>
                <c:pt idx="0">
                  <c:v>Average of success_raid_percent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1"/>
              <c:layout>
                <c:manualLayout>
                  <c:x val="-4.4300250300786104E-2"/>
                  <c:y val="-7.18912099573943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CE-4EB6-A42A-5A5AED9E793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performance'!$A$4:$A$12</c:f>
              <c:strCache>
                <c:ptCount val="8"/>
                <c:pt idx="0">
                  <c:v>Bengal Warriors</c:v>
                </c:pt>
                <c:pt idx="1">
                  <c:v>Bengaluru Bulls</c:v>
                </c:pt>
                <c:pt idx="2">
                  <c:v>Dabang Delhi K.C.</c:v>
                </c:pt>
                <c:pt idx="3">
                  <c:v>Jaipur Pink Panthers</c:v>
                </c:pt>
                <c:pt idx="4">
                  <c:v>Patna Pirates</c:v>
                </c:pt>
                <c:pt idx="5">
                  <c:v>Puneri Paltan</c:v>
                </c:pt>
                <c:pt idx="6">
                  <c:v>Telugu Titans</c:v>
                </c:pt>
                <c:pt idx="7">
                  <c:v>U Mumba</c:v>
                </c:pt>
              </c:strCache>
            </c:strRef>
          </c:cat>
          <c:val>
            <c:numRef>
              <c:f>'team performance'!$B$4:$B$12</c:f>
              <c:numCache>
                <c:formatCode>0.00</c:formatCode>
                <c:ptCount val="8"/>
                <c:pt idx="0">
                  <c:v>52</c:v>
                </c:pt>
                <c:pt idx="1">
                  <c:v>45</c:v>
                </c:pt>
                <c:pt idx="2">
                  <c:v>51</c:v>
                </c:pt>
                <c:pt idx="3">
                  <c:v>55</c:v>
                </c:pt>
                <c:pt idx="4">
                  <c:v>50</c:v>
                </c:pt>
                <c:pt idx="5">
                  <c:v>49</c:v>
                </c:pt>
                <c:pt idx="6">
                  <c:v>59</c:v>
                </c:pt>
                <c:pt idx="7">
                  <c:v>56</c:v>
                </c:pt>
              </c:numCache>
            </c:numRef>
          </c:val>
          <c:smooth val="0"/>
          <c:extLst>
            <c:ext xmlns:c16="http://schemas.microsoft.com/office/drawing/2014/chart" uri="{C3380CC4-5D6E-409C-BE32-E72D297353CC}">
              <c16:uniqueId val="{00000000-6928-4469-92F9-6E2A49D8A18C}"/>
            </c:ext>
          </c:extLst>
        </c:ser>
        <c:ser>
          <c:idx val="1"/>
          <c:order val="1"/>
          <c:tx>
            <c:strRef>
              <c:f>'team performance'!$C$3</c:f>
              <c:strCache>
                <c:ptCount val="1"/>
                <c:pt idx="0">
                  <c:v>Average of tackle_success_rate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dLbl>
              <c:idx val="1"/>
              <c:layout>
                <c:manualLayout>
                  <c:x val="-4.4300250300786104E-2"/>
                  <c:y val="3.51467334885243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7CE-4EB6-A42A-5A5AED9E793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performance'!$A$4:$A$12</c:f>
              <c:strCache>
                <c:ptCount val="8"/>
                <c:pt idx="0">
                  <c:v>Bengal Warriors</c:v>
                </c:pt>
                <c:pt idx="1">
                  <c:v>Bengaluru Bulls</c:v>
                </c:pt>
                <c:pt idx="2">
                  <c:v>Dabang Delhi K.C.</c:v>
                </c:pt>
                <c:pt idx="3">
                  <c:v>Jaipur Pink Panthers</c:v>
                </c:pt>
                <c:pt idx="4">
                  <c:v>Patna Pirates</c:v>
                </c:pt>
                <c:pt idx="5">
                  <c:v>Puneri Paltan</c:v>
                </c:pt>
                <c:pt idx="6">
                  <c:v>Telugu Titans</c:v>
                </c:pt>
                <c:pt idx="7">
                  <c:v>U Mumba</c:v>
                </c:pt>
              </c:strCache>
            </c:strRef>
          </c:cat>
          <c:val>
            <c:numRef>
              <c:f>'team performance'!$C$4:$C$12</c:f>
              <c:numCache>
                <c:formatCode>0.00</c:formatCode>
                <c:ptCount val="8"/>
                <c:pt idx="0">
                  <c:v>32</c:v>
                </c:pt>
                <c:pt idx="1">
                  <c:v>46</c:v>
                </c:pt>
                <c:pt idx="2">
                  <c:v>36</c:v>
                </c:pt>
                <c:pt idx="3">
                  <c:v>42</c:v>
                </c:pt>
                <c:pt idx="4">
                  <c:v>37</c:v>
                </c:pt>
                <c:pt idx="5">
                  <c:v>29</c:v>
                </c:pt>
                <c:pt idx="6">
                  <c:v>31</c:v>
                </c:pt>
                <c:pt idx="7">
                  <c:v>38</c:v>
                </c:pt>
              </c:numCache>
            </c:numRef>
          </c:val>
          <c:smooth val="0"/>
          <c:extLst>
            <c:ext xmlns:c16="http://schemas.microsoft.com/office/drawing/2014/chart" uri="{C3380CC4-5D6E-409C-BE32-E72D297353CC}">
              <c16:uniqueId val="{00000001-6928-4469-92F9-6E2A49D8A18C}"/>
            </c:ext>
          </c:extLst>
        </c:ser>
        <c:dLbls>
          <c:dLblPos val="b"/>
          <c:showLegendKey val="0"/>
          <c:showVal val="1"/>
          <c:showCatName val="0"/>
          <c:showSerName val="0"/>
          <c:showPercent val="0"/>
          <c:showBubbleSize val="0"/>
        </c:dLbls>
        <c:marker val="1"/>
        <c:smooth val="0"/>
        <c:axId val="196907536"/>
        <c:axId val="1384865904"/>
      </c:lineChart>
      <c:catAx>
        <c:axId val="19690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384865904"/>
        <c:crosses val="autoZero"/>
        <c:auto val="1"/>
        <c:lblAlgn val="ctr"/>
        <c:lblOffset val="100"/>
        <c:noMultiLvlLbl val="0"/>
      </c:catAx>
      <c:valAx>
        <c:axId val="1384865904"/>
        <c:scaling>
          <c:orientation val="minMax"/>
        </c:scaling>
        <c:delete val="0"/>
        <c:axPos val="l"/>
        <c:majorGridlines>
          <c:spPr>
            <a:ln w="1587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96907536"/>
        <c:crosses val="autoZero"/>
        <c:crossBetween val="between"/>
      </c:valAx>
      <c:spPr>
        <a:noFill/>
        <a:ln>
          <a:noFill/>
        </a:ln>
        <a:effectLst/>
      </c:spPr>
    </c:plotArea>
    <c:legend>
      <c:legendPos val="r"/>
      <c:layout>
        <c:manualLayout>
          <c:xMode val="edge"/>
          <c:yMode val="edge"/>
          <c:x val="0.68362664163848397"/>
          <c:y val="0.45435477582846001"/>
          <c:w val="0.30221697829280747"/>
          <c:h val="0.33885380116959063"/>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[PKL analysis Dashboard.xlsx]Super Raids And Tackles!PivotTable1</c:name>
    <c:fmtId val="6"/>
  </c:pivotSource>
  <c:chart>
    <c:title>
      <c:tx>
        <c:rich>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IN" sz="2000"/>
              <a:t>Super</a:t>
            </a:r>
            <a:r>
              <a:rPr lang="en-IN" sz="2000" baseline="0"/>
              <a:t> Raids &amp; Super Tackles Data</a:t>
            </a:r>
            <a:endParaRPr lang="en-IN" sz="2000"/>
          </a:p>
        </c:rich>
      </c:tx>
      <c:layout>
        <c:manualLayout>
          <c:xMode val="edge"/>
          <c:yMode val="edge"/>
          <c:x val="0.13495642267506691"/>
          <c:y val="3.25462324823747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'Super Raids And Tackles'!$B$3</c:f>
              <c:strCache>
                <c:ptCount val="1"/>
                <c:pt idx="0">
                  <c:v>Sum of super_raids</c:v>
                </c:pt>
              </c:strCache>
            </c:strRef>
          </c:tx>
          <c:spPr>
            <a:solidFill>
              <a:schemeClr val="accent2">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'Super Raids And Tackles'!$A$4:$A$12</c:f>
              <c:strCache>
                <c:ptCount val="8"/>
                <c:pt idx="0">
                  <c:v>Bengal Warriors</c:v>
                </c:pt>
                <c:pt idx="1">
                  <c:v>Bengaluru Bulls</c:v>
                </c:pt>
                <c:pt idx="2">
                  <c:v>Dabang Delhi K.C.</c:v>
                </c:pt>
                <c:pt idx="3">
                  <c:v>Jaipur Pink Panthers</c:v>
                </c:pt>
                <c:pt idx="4">
                  <c:v>Patna Pirates</c:v>
                </c:pt>
                <c:pt idx="5">
                  <c:v>Puneri Paltan</c:v>
                </c:pt>
                <c:pt idx="6">
                  <c:v>Telugu Titans</c:v>
                </c:pt>
                <c:pt idx="7">
                  <c:v>U Mumba</c:v>
                </c:pt>
              </c:strCache>
            </c:strRef>
          </c:cat>
          <c:val>
            <c:numRef>
              <c:f>'Super Raids And Tackles'!$B$4:$B$12</c:f>
              <c:numCache>
                <c:formatCode>General</c:formatCode>
                <c:ptCount val="8"/>
                <c:pt idx="0">
                  <c:v>11</c:v>
                </c:pt>
                <c:pt idx="1">
                  <c:v>7</c:v>
                </c:pt>
                <c:pt idx="2">
                  <c:v>5</c:v>
                </c:pt>
                <c:pt idx="3">
                  <c:v>9</c:v>
                </c:pt>
                <c:pt idx="4">
                  <c:v>13</c:v>
                </c:pt>
                <c:pt idx="5">
                  <c:v>11</c:v>
                </c:pt>
                <c:pt idx="6">
                  <c:v>8</c:v>
                </c:pt>
                <c:pt idx="7">
                  <c:v>12</c:v>
                </c:pt>
              </c:numCache>
            </c:numRef>
          </c:val>
          <c:extLst>
            <c:ext xmlns:c16="http://schemas.microsoft.com/office/drawing/2014/chart" uri="{C3380CC4-5D6E-409C-BE32-E72D297353CC}">
              <c16:uniqueId val="{00000000-C278-4668-95A8-CF826B6D2C58}"/>
            </c:ext>
          </c:extLst>
        </c:ser>
        <c:ser>
          <c:idx val="1"/>
          <c:order val="1"/>
          <c:tx>
            <c:strRef>
              <c:f>'Super Raids And Tackles'!$C$3</c:f>
              <c:strCache>
                <c:ptCount val="1"/>
                <c:pt idx="0">
                  <c:v>Sum of super_tackles</c:v>
                </c:pt>
              </c:strCache>
            </c:strRef>
          </c:tx>
          <c:spPr>
            <a:solidFill>
              <a:schemeClr val="accent2">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'Super Raids And Tackles'!$A$4:$A$12</c:f>
              <c:strCache>
                <c:ptCount val="8"/>
                <c:pt idx="0">
                  <c:v>Bengal Warriors</c:v>
                </c:pt>
                <c:pt idx="1">
                  <c:v>Bengaluru Bulls</c:v>
                </c:pt>
                <c:pt idx="2">
                  <c:v>Dabang Delhi K.C.</c:v>
                </c:pt>
                <c:pt idx="3">
                  <c:v>Jaipur Pink Panthers</c:v>
                </c:pt>
                <c:pt idx="4">
                  <c:v>Patna Pirates</c:v>
                </c:pt>
                <c:pt idx="5">
                  <c:v>Puneri Paltan</c:v>
                </c:pt>
                <c:pt idx="6">
                  <c:v>Telugu Titans</c:v>
                </c:pt>
                <c:pt idx="7">
                  <c:v>U Mumba</c:v>
                </c:pt>
              </c:strCache>
            </c:strRef>
          </c:cat>
          <c:val>
            <c:numRef>
              <c:f>'Super Raids And Tackles'!$C$4:$C$12</c:f>
              <c:numCache>
                <c:formatCode>General</c:formatCode>
                <c:ptCount val="8"/>
                <c:pt idx="0">
                  <c:v>16</c:v>
                </c:pt>
                <c:pt idx="1">
                  <c:v>10</c:v>
                </c:pt>
                <c:pt idx="2">
                  <c:v>10</c:v>
                </c:pt>
                <c:pt idx="3">
                  <c:v>12</c:v>
                </c:pt>
                <c:pt idx="4">
                  <c:v>18</c:v>
                </c:pt>
                <c:pt idx="5">
                  <c:v>14</c:v>
                </c:pt>
                <c:pt idx="6">
                  <c:v>8</c:v>
                </c:pt>
                <c:pt idx="7">
                  <c:v>12</c:v>
                </c:pt>
              </c:numCache>
            </c:numRef>
          </c:val>
          <c:extLst>
            <c:ext xmlns:c16="http://schemas.microsoft.com/office/drawing/2014/chart" uri="{C3380CC4-5D6E-409C-BE32-E72D297353CC}">
              <c16:uniqueId val="{00000001-C278-4668-95A8-CF826B6D2C58}"/>
            </c:ext>
          </c:extLst>
        </c:ser>
        <c:dLbls>
          <c:showLegendKey val="0"/>
          <c:showVal val="1"/>
          <c:showCatName val="0"/>
          <c:showSerName val="0"/>
          <c:showPercent val="0"/>
          <c:showBubbleSize val="0"/>
        </c:dLbls>
        <c:gapWidth val="150"/>
        <c:shape val="box"/>
        <c:axId val="1654866543"/>
        <c:axId val="923929647"/>
        <c:axId val="0"/>
      </c:bar3DChart>
      <c:catAx>
        <c:axId val="1654866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923929647"/>
        <c:crosses val="autoZero"/>
        <c:auto val="1"/>
        <c:lblAlgn val="ctr"/>
        <c:lblOffset val="100"/>
        <c:noMultiLvlLbl val="0"/>
      </c:catAx>
      <c:valAx>
        <c:axId val="923929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866543"/>
        <c:crosses val="autoZero"/>
        <c:crossBetween val="between"/>
      </c:valAx>
      <c:spPr>
        <a:noFill/>
        <a:ln>
          <a:noFill/>
        </a:ln>
        <a:effectLst/>
      </c:spPr>
    </c:plotArea>
    <c:legend>
      <c:legendPos val="r"/>
      <c:layout>
        <c:manualLayout>
          <c:xMode val="edge"/>
          <c:yMode val="edge"/>
          <c:x val="0.72984376534839346"/>
          <c:y val="0.32940538126443625"/>
          <c:w val="0.23396133853095841"/>
          <c:h val="0.14605966351109548"/>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00000000-F92C-45D0-A468-52E606263E78}">
          <cx:spPr>
            <a:ln>
              <a:noFill/>
            </a:ln>
          </cx:spPr>
          <cx:dataPt idx="0">
            <cx:spPr>
              <a:solidFill>
                <a:srgbClr val="00B0F0"/>
              </a:solidFill>
            </cx:spPr>
          </cx:dataPt>
          <cx:dataPt idx="1">
            <cx:spPr>
              <a:solidFill>
                <a:srgbClr val="C00000"/>
              </a:solidFill>
            </cx:spPr>
          </cx:dataPt>
          <cx:dataPt idx="2">
            <cx:spPr>
              <a:solidFill>
                <a:srgbClr val="A02B93">
                  <a:lumMod val="60000"/>
                  <a:lumOff val="40000"/>
                </a:srgbClr>
              </a:solidFill>
            </cx:spPr>
          </cx:dataPt>
          <cx:dataPt idx="3">
            <cx:spPr>
              <a:solidFill>
                <a:srgbClr val="00B050"/>
              </a:solidFill>
            </cx:spPr>
          </cx:dataPt>
          <cx:dataPt idx="4">
            <cx:spPr>
              <a:solidFill>
                <a:srgbClr val="E97132"/>
              </a:solidFill>
            </cx:spPr>
          </cx:dataPt>
          <cx:dataLabels pos="ctr">
            <cx:txPr>
              <a:bodyPr spcFirstLastPara="1" vertOverflow="ellipsis" horzOverflow="overflow" wrap="square" lIns="0" tIns="0" rIns="0" bIns="0" anchor="ctr" anchorCtr="1"/>
              <a:lstStyle/>
              <a:p>
                <a:pPr algn="ctr" rtl="0">
                  <a:defRPr sz="1100" b="1" i="0" baseline="0">
                    <a:solidFill>
                      <a:schemeClr val="tx1"/>
                    </a:solidFill>
                    <a:latin typeface="Times New Roman" panose="02020603050405020304" pitchFamily="18" charset="0"/>
                  </a:defRPr>
                </a:pPr>
                <a:endParaRPr lang="en-US" sz="1100" b="1" i="0" u="none" strike="noStrike" baseline="0">
                  <a:solidFill>
                    <a:schemeClr val="tx1"/>
                  </a:solidFill>
                  <a:latin typeface="Times New Roman" panose="02020603050405020304" pitchFamily="18" charset="0"/>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a:pPr>
                  <a:r>
                    <a:rPr lang="en-US" sz="1100" b="1" i="0" u="none" strike="noStrike" baseline="0">
                      <a:solidFill>
                        <a:schemeClr val="tx1"/>
                      </a:solidFill>
                      <a:latin typeface="Times New Roman" panose="02020603050405020304" pitchFamily="18" charset="0"/>
                    </a:rPr>
                    <a:t>Bengal Warriors
1</a:t>
                  </a:r>
                </a:p>
              </cx:txPr>
            </cx:dataLabel>
            <cx:dataLabel idx="1">
              <cx:txPr>
                <a:bodyPr spcFirstLastPara="1" vertOverflow="ellipsis" horzOverflow="overflow" wrap="square" lIns="0" tIns="0" rIns="0" bIns="0" anchor="ctr" anchorCtr="1"/>
                <a:lstStyle/>
                <a:p>
                  <a:pPr algn="ctr" rtl="0">
                    <a:defRPr/>
                  </a:pPr>
                  <a:r>
                    <a:rPr lang="en-US" sz="1100" b="1" i="0" u="none" strike="noStrike" baseline="0">
                      <a:solidFill>
                        <a:schemeClr val="tx1"/>
                      </a:solidFill>
                      <a:latin typeface="Times New Roman" panose="02020603050405020304" pitchFamily="18" charset="0"/>
                    </a:rPr>
                    <a:t>Bengaluru Bulls
1</a:t>
                  </a:r>
                </a:p>
              </cx:txPr>
            </cx:dataLabel>
            <cx:dataLabel idx="3">
              <cx:txPr>
                <a:bodyPr spcFirstLastPara="1" vertOverflow="ellipsis" horzOverflow="overflow" wrap="square" lIns="0" tIns="0" rIns="0" bIns="0" anchor="ctr" anchorCtr="1"/>
                <a:lstStyle/>
                <a:p>
                  <a:pPr algn="ctr" rtl="0">
                    <a:defRPr sz="1100" b="1" i="0" baseline="0">
                      <a:latin typeface="Times New Roman" panose="02020603050405020304" pitchFamily="18" charset="0"/>
                    </a:defRPr>
                  </a:pPr>
                  <a:r>
                    <a:rPr lang="en-US" sz="1100" b="1" i="0" u="none" strike="noStrike" baseline="0">
                      <a:solidFill>
                        <a:schemeClr val="tx1"/>
                      </a:solidFill>
                      <a:latin typeface="Times New Roman" panose="02020603050405020304" pitchFamily="18" charset="0"/>
                    </a:rPr>
                    <a:t>Patna Pirates
3</a:t>
                  </a:r>
                </a:p>
              </cx:txPr>
            </cx:dataLabel>
          </cx:dataLabels>
          <cx:dataId val="0"/>
          <cx:layoutPr>
            <cx:parentLabelLayout val="overlapping"/>
          </cx:layoutPr>
        </cx:series>
      </cx:plotAreaRegion>
    </cx:plotArea>
    <cx:legend pos="r" align="ctr" overlay="0">
      <cx:txPr>
        <a:bodyPr spcFirstLastPara="1" vertOverflow="ellipsis" horzOverflow="overflow" wrap="square" lIns="0" tIns="0" rIns="0" bIns="0" anchor="ctr" anchorCtr="1"/>
        <a:lstStyle/>
        <a:p>
          <a:pPr algn="ctr" rtl="0">
            <a:defRPr>
              <a:solidFill>
                <a:schemeClr val="tx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900" b="0" i="0" u="none" strike="noStrike" baseline="0">
            <a:solidFill>
              <a:schemeClr val="tx1"/>
            </a:solidFill>
            <a:latin typeface="Times New Roman" panose="02020603050405020304" pitchFamily="18" charset="0"/>
            <a:cs typeface="Times New Roman" panose="02020603050405020304" pitchFamily="18" charset="0"/>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solidFill>
                <a:schemeClr val="bg1"/>
              </a:solidFill>
            </a:defRPr>
          </a:pPr>
          <a:r>
            <a:rPr lang="en-US" sz="2000" b="1" i="0" u="none" strike="noStrike" baseline="0">
              <a:solidFill>
                <a:schemeClr val="bg1"/>
              </a:solidFill>
              <a:latin typeface="Times New Roman" panose="02020603050405020304" pitchFamily="18" charset="0"/>
              <a:cs typeface="Times New Roman" panose="02020603050405020304" pitchFamily="18" charset="0"/>
            </a:rPr>
            <a:t>Title Winners</a:t>
          </a:r>
        </a:p>
      </cx:txPr>
    </cx:title>
    <cx:plotArea>
      <cx:plotAreaRegion>
        <cx:series layoutId="treemap" uniqueId="{00000000-F92C-45D0-A468-52E606263E78}">
          <cx:spPr>
            <a:ln>
              <a:noFill/>
            </a:ln>
          </cx:spPr>
          <cx:dataPt idx="0">
            <cx:spPr>
              <a:solidFill>
                <a:srgbClr val="00B0F0"/>
              </a:solidFill>
            </cx:spPr>
          </cx:dataPt>
          <cx:dataPt idx="1">
            <cx:spPr>
              <a:solidFill>
                <a:srgbClr val="C00000"/>
              </a:solidFill>
            </cx:spPr>
          </cx:dataPt>
          <cx:dataPt idx="2">
            <cx:spPr>
              <a:solidFill>
                <a:srgbClr val="A02B93">
                  <a:lumMod val="60000"/>
                  <a:lumOff val="40000"/>
                </a:srgbClr>
              </a:solidFill>
            </cx:spPr>
          </cx:dataPt>
          <cx:dataPt idx="3">
            <cx:spPr>
              <a:solidFill>
                <a:srgbClr val="00B050"/>
              </a:solidFill>
            </cx:spPr>
          </cx:dataPt>
          <cx:dataPt idx="4">
            <cx:spPr>
              <a:solidFill>
                <a:srgbClr val="E97132"/>
              </a:solidFill>
            </cx:spPr>
          </cx:dataPt>
          <cx:dataLabels pos="ctr">
            <cx:txPr>
              <a:bodyPr spcFirstLastPara="1" vertOverflow="ellipsis" horzOverflow="overflow" wrap="square" lIns="0" tIns="0" rIns="0" bIns="0" anchor="ctr" anchorCtr="1"/>
              <a:lstStyle/>
              <a:p>
                <a:pPr algn="ctr" rtl="0">
                  <a:defRPr sz="1600" b="1" i="0" baseline="0">
                    <a:solidFill>
                      <a:schemeClr val="tx1"/>
                    </a:solidFill>
                    <a:latin typeface="Times New Roman" panose="02020603050405020304" pitchFamily="18" charset="0"/>
                  </a:defRPr>
                </a:pPr>
                <a:endParaRPr lang="en-US" sz="1600" b="1" i="0" u="none" strike="noStrike" baseline="0">
                  <a:solidFill>
                    <a:schemeClr val="tx1"/>
                  </a:solidFill>
                  <a:latin typeface="Times New Roman" panose="02020603050405020304" pitchFamily="18" charset="0"/>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sz="1600"/>
                  </a:pPr>
                  <a:r>
                    <a:rPr lang="en-US" sz="1600" b="1" i="0" u="none" strike="noStrike" baseline="0">
                      <a:solidFill>
                        <a:schemeClr val="tx1"/>
                      </a:solidFill>
                      <a:latin typeface="Times New Roman" panose="02020603050405020304" pitchFamily="18" charset="0"/>
                    </a:rPr>
                    <a:t>Bengal Warriors
1</a:t>
                  </a:r>
                </a:p>
              </cx:txPr>
              <cx:visibility seriesName="0" categoryName="1" value="1"/>
              <cx:separator>
</cx:separator>
            </cx:dataLabel>
            <cx:dataLabel idx="1">
              <cx:txPr>
                <a:bodyPr spcFirstLastPara="1" vertOverflow="ellipsis" horzOverflow="overflow" wrap="square" lIns="0" tIns="0" rIns="0" bIns="0" anchor="ctr" anchorCtr="1"/>
                <a:lstStyle/>
                <a:p>
                  <a:pPr algn="ctr" rtl="0">
                    <a:defRPr sz="1600"/>
                  </a:pPr>
                  <a:r>
                    <a:rPr lang="en-US" sz="1600" b="1" i="0" u="none" strike="noStrike" baseline="0">
                      <a:solidFill>
                        <a:schemeClr val="tx1"/>
                      </a:solidFill>
                      <a:latin typeface="Times New Roman" panose="02020603050405020304" pitchFamily="18" charset="0"/>
                    </a:rPr>
                    <a:t>Bengaluru Bulls
1</a:t>
                  </a:r>
                </a:p>
              </cx:txPr>
              <cx:visibility seriesName="0" categoryName="1" value="1"/>
              <cx:separator>
</cx:separator>
            </cx:dataLabel>
            <cx:dataLabel idx="3">
              <cx:txPr>
                <a:bodyPr spcFirstLastPara="1" vertOverflow="ellipsis" horzOverflow="overflow" wrap="square" lIns="0" tIns="0" rIns="0" bIns="0" anchor="ctr" anchorCtr="1"/>
                <a:lstStyle/>
                <a:p>
                  <a:pPr algn="ctr" rtl="0">
                    <a:defRPr sz="1600" b="1" i="0" baseline="0">
                      <a:latin typeface="Times New Roman" panose="02020603050405020304" pitchFamily="18" charset="0"/>
                    </a:defRPr>
                  </a:pPr>
                  <a:r>
                    <a:rPr lang="en-US" sz="1600" b="1" i="0" u="none" strike="noStrike" baseline="0">
                      <a:solidFill>
                        <a:schemeClr val="tx1"/>
                      </a:solidFill>
                      <a:latin typeface="Times New Roman" panose="02020603050405020304" pitchFamily="18" charset="0"/>
                    </a:rPr>
                    <a:t>Patna Pirates
3</a:t>
                  </a:r>
                </a:p>
              </cx:txPr>
              <cx:visibility seriesName="0" categoryName="1" value="1"/>
              <cx:separator>
</cx:separator>
            </cx:dataLabel>
          </cx:dataLabels>
          <cx:dataId val="0"/>
          <cx:layoutPr>
            <cx:parentLabelLayout val="overlapping"/>
          </cx:layoutPr>
        </cx:series>
      </cx:plotAreaRegion>
    </cx:plotArea>
    <cx:legend pos="r" align="ctr" overlay="0">
      <cx:txPr>
        <a:bodyPr spcFirstLastPara="1" vertOverflow="ellipsis" horzOverflow="overflow" wrap="square" lIns="0" tIns="0" rIns="0" bIns="0" anchor="ctr" anchorCtr="1"/>
        <a:lstStyle/>
        <a:p>
          <a:pPr algn="ctr" rtl="0">
            <a:defRPr sz="1100">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100" b="0" i="0" u="none" strike="noStrike" baseline="0">
            <a:solidFill>
              <a:schemeClr val="bg1"/>
            </a:solidFill>
            <a:latin typeface="Times New Roman" panose="02020603050405020304" pitchFamily="18" charset="0"/>
            <a:cs typeface="Times New Roman" panose="02020603050405020304" pitchFamily="18" charset="0"/>
          </a:endParaRPr>
        </a:p>
      </cx:txPr>
    </cx:legend>
  </cx:chart>
  <cx:spPr>
    <a:solidFill>
      <a:srgbClr val="7030A0"/>
    </a:solidFill>
  </cx:spPr>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microsoft.com/office/2014/relationships/chartEx" Target="../charts/chartEx2.xml"/><Relationship Id="rId6" Type="http://schemas.openxmlformats.org/officeDocument/2006/relationships/image" Target="../media/image1.pn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923925</xdr:colOff>
      <xdr:row>9</xdr:row>
      <xdr:rowOff>166687</xdr:rowOff>
    </xdr:from>
    <xdr:to>
      <xdr:col>9</xdr:col>
      <xdr:colOff>476250</xdr:colOff>
      <xdr:row>24</xdr:row>
      <xdr:rowOff>52387</xdr:rowOff>
    </xdr:to>
    <xdr:graphicFrame macro="">
      <xdr:nvGraphicFramePr>
        <xdr:cNvPr id="2" name="Chart 1">
          <a:extLst>
            <a:ext uri="{FF2B5EF4-FFF2-40B4-BE49-F238E27FC236}">
              <a16:creationId xmlns:a16="http://schemas.microsoft.com/office/drawing/2014/main" id="{AF030800-A2AE-ACA0-9F91-0E49EBF971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219075</xdr:colOff>
      <xdr:row>18</xdr:row>
      <xdr:rowOff>114300</xdr:rowOff>
    </xdr:from>
    <xdr:to>
      <xdr:col>10</xdr:col>
      <xdr:colOff>142875</xdr:colOff>
      <xdr:row>33</xdr:row>
      <xdr:rowOff>0</xdr:rowOff>
    </xdr:to>
    <xdr:graphicFrame macro="">
      <xdr:nvGraphicFramePr>
        <xdr:cNvPr id="7" name="Chart 6">
          <a:extLst>
            <a:ext uri="{FF2B5EF4-FFF2-40B4-BE49-F238E27FC236}">
              <a16:creationId xmlns:a16="http://schemas.microsoft.com/office/drawing/2014/main" id="{3F53FBC0-0246-5175-1695-EECDC35C43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1</xdr:row>
      <xdr:rowOff>161925</xdr:rowOff>
    </xdr:from>
    <xdr:to>
      <xdr:col>13</xdr:col>
      <xdr:colOff>0</xdr:colOff>
      <xdr:row>15</xdr:row>
      <xdr:rowOff>161925</xdr:rowOff>
    </xdr:to>
    <mc:AlternateContent xmlns:mc="http://schemas.openxmlformats.org/markup-compatibility/2006" xmlns:a14="http://schemas.microsoft.com/office/drawing/2010/main">
      <mc:Choice Requires="a14">
        <xdr:graphicFrame macro="">
          <xdr:nvGraphicFramePr>
            <xdr:cNvPr id="8" name="stats_status 1">
              <a:extLst>
                <a:ext uri="{FF2B5EF4-FFF2-40B4-BE49-F238E27FC236}">
                  <a16:creationId xmlns:a16="http://schemas.microsoft.com/office/drawing/2014/main" id="{3491D0A3-4ABA-B179-8549-49FAD29723B4}"/>
                </a:ext>
              </a:extLst>
            </xdr:cNvPr>
            <xdr:cNvGraphicFramePr/>
          </xdr:nvGraphicFramePr>
          <xdr:xfrm>
            <a:off x="0" y="0"/>
            <a:ext cx="0" cy="0"/>
          </xdr:xfrm>
          <a:graphic>
            <a:graphicData uri="http://schemas.microsoft.com/office/drawing/2010/slicer">
              <sle:slicer xmlns:sle="http://schemas.microsoft.com/office/drawing/2010/slicer" name="stats_status 1"/>
            </a:graphicData>
          </a:graphic>
        </xdr:graphicFrame>
      </mc:Choice>
      <mc:Fallback xmlns="">
        <xdr:sp macro="" textlink="">
          <xdr:nvSpPr>
            <xdr:cNvPr id="0" name=""/>
            <xdr:cNvSpPr>
              <a:spLocks noTextEdit="1"/>
            </xdr:cNvSpPr>
          </xdr:nvSpPr>
          <xdr:spPr>
            <a:xfrm>
              <a:off x="7496175" y="3524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600074</xdr:colOff>
      <xdr:row>8</xdr:row>
      <xdr:rowOff>0</xdr:rowOff>
    </xdr:from>
    <xdr:to>
      <xdr:col>14</xdr:col>
      <xdr:colOff>609599</xdr:colOff>
      <xdr:row>24</xdr:row>
      <xdr:rowOff>95250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EB11B19-21D3-FB85-EA4B-2D0B822E38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81649" y="1524000"/>
              <a:ext cx="5610225" cy="31432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927615</xdr:colOff>
      <xdr:row>8</xdr:row>
      <xdr:rowOff>44279</xdr:rowOff>
    </xdr:from>
    <xdr:to>
      <xdr:col>8</xdr:col>
      <xdr:colOff>488263</xdr:colOff>
      <xdr:row>22</xdr:row>
      <xdr:rowOff>144506</xdr:rowOff>
    </xdr:to>
    <xdr:graphicFrame macro="">
      <xdr:nvGraphicFramePr>
        <xdr:cNvPr id="2" name="Chart 1">
          <a:extLst>
            <a:ext uri="{FF2B5EF4-FFF2-40B4-BE49-F238E27FC236}">
              <a16:creationId xmlns:a16="http://schemas.microsoft.com/office/drawing/2014/main" id="{36934B71-F18A-45C4-D750-B40B74577C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0</xdr:row>
      <xdr:rowOff>164757</xdr:rowOff>
    </xdr:from>
    <xdr:to>
      <xdr:col>13</xdr:col>
      <xdr:colOff>1030</xdr:colOff>
      <xdr:row>15</xdr:row>
      <xdr:rowOff>0</xdr:rowOff>
    </xdr:to>
    <mc:AlternateContent xmlns:mc="http://schemas.openxmlformats.org/markup-compatibility/2006" xmlns:a14="http://schemas.microsoft.com/office/drawing/2010/main">
      <mc:Choice Requires="a14">
        <xdr:graphicFrame macro="">
          <xdr:nvGraphicFramePr>
            <xdr:cNvPr id="3" name="stats_status 2">
              <a:extLst>
                <a:ext uri="{FF2B5EF4-FFF2-40B4-BE49-F238E27FC236}">
                  <a16:creationId xmlns:a16="http://schemas.microsoft.com/office/drawing/2014/main" id="{0E8975AD-9219-F9B9-00D9-35EA1848297D}"/>
                </a:ext>
              </a:extLst>
            </xdr:cNvPr>
            <xdr:cNvGraphicFramePr/>
          </xdr:nvGraphicFramePr>
          <xdr:xfrm>
            <a:off x="0" y="0"/>
            <a:ext cx="0" cy="0"/>
          </xdr:xfrm>
          <a:graphic>
            <a:graphicData uri="http://schemas.microsoft.com/office/drawing/2010/slicer">
              <sle:slicer xmlns:sle="http://schemas.microsoft.com/office/drawing/2010/slicer" name="stats_status 2"/>
            </a:graphicData>
          </a:graphic>
        </xdr:graphicFrame>
      </mc:Choice>
      <mc:Fallback xmlns="">
        <xdr:sp macro="" textlink="">
          <xdr:nvSpPr>
            <xdr:cNvPr id="0" name=""/>
            <xdr:cNvSpPr>
              <a:spLocks noTextEdit="1"/>
            </xdr:cNvSpPr>
          </xdr:nvSpPr>
          <xdr:spPr>
            <a:xfrm>
              <a:off x="9585068" y="164757"/>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371475</xdr:colOff>
      <xdr:row>9</xdr:row>
      <xdr:rowOff>166687</xdr:rowOff>
    </xdr:from>
    <xdr:to>
      <xdr:col>9</xdr:col>
      <xdr:colOff>247650</xdr:colOff>
      <xdr:row>24</xdr:row>
      <xdr:rowOff>52387</xdr:rowOff>
    </xdr:to>
    <xdr:graphicFrame macro="">
      <xdr:nvGraphicFramePr>
        <xdr:cNvPr id="3" name="Chart 2">
          <a:extLst>
            <a:ext uri="{FF2B5EF4-FFF2-40B4-BE49-F238E27FC236}">
              <a16:creationId xmlns:a16="http://schemas.microsoft.com/office/drawing/2014/main" id="{2B2FF90F-709F-AAEE-4DEF-EF68159752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66675</xdr:colOff>
      <xdr:row>7</xdr:row>
      <xdr:rowOff>85725</xdr:rowOff>
    </xdr:from>
    <xdr:to>
      <xdr:col>15</xdr:col>
      <xdr:colOff>66675</xdr:colOff>
      <xdr:row>21</xdr:row>
      <xdr:rowOff>85725</xdr:rowOff>
    </xdr:to>
    <mc:AlternateContent xmlns:mc="http://schemas.openxmlformats.org/markup-compatibility/2006" xmlns:a14="http://schemas.microsoft.com/office/drawing/2010/main">
      <mc:Choice Requires="a14">
        <xdr:graphicFrame macro="">
          <xdr:nvGraphicFramePr>
            <xdr:cNvPr id="4" name="stats_status">
              <a:extLst>
                <a:ext uri="{FF2B5EF4-FFF2-40B4-BE49-F238E27FC236}">
                  <a16:creationId xmlns:a16="http://schemas.microsoft.com/office/drawing/2014/main" id="{8908903B-1B46-7583-73FD-F39C0EDF8999}"/>
                </a:ext>
              </a:extLst>
            </xdr:cNvPr>
            <xdr:cNvGraphicFramePr/>
          </xdr:nvGraphicFramePr>
          <xdr:xfrm>
            <a:off x="0" y="0"/>
            <a:ext cx="0" cy="0"/>
          </xdr:xfrm>
          <a:graphic>
            <a:graphicData uri="http://schemas.microsoft.com/office/drawing/2010/slicer">
              <sle:slicer xmlns:sle="http://schemas.microsoft.com/office/drawing/2010/slicer" name="stats_status"/>
            </a:graphicData>
          </a:graphic>
        </xdr:graphicFrame>
      </mc:Choice>
      <mc:Fallback xmlns="">
        <xdr:sp macro="" textlink="">
          <xdr:nvSpPr>
            <xdr:cNvPr id="0" name=""/>
            <xdr:cNvSpPr>
              <a:spLocks noTextEdit="1"/>
            </xdr:cNvSpPr>
          </xdr:nvSpPr>
          <xdr:spPr>
            <a:xfrm>
              <a:off x="9582150" y="14192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219075</xdr:colOff>
      <xdr:row>5</xdr:row>
      <xdr:rowOff>171450</xdr:rowOff>
    </xdr:from>
    <xdr:to>
      <xdr:col>15</xdr:col>
      <xdr:colOff>38101</xdr:colOff>
      <xdr:row>19</xdr:row>
      <xdr:rowOff>171450</xdr:rowOff>
    </xdr:to>
    <mc:AlternateContent xmlns:mc="http://schemas.openxmlformats.org/markup-compatibility/2006" xmlns:a14="http://schemas.microsoft.com/office/drawing/2010/main">
      <mc:Choice Requires="a14">
        <xdr:graphicFrame macro="">
          <xdr:nvGraphicFramePr>
            <xdr:cNvPr id="2" name="stats_status 3">
              <a:extLst>
                <a:ext uri="{FF2B5EF4-FFF2-40B4-BE49-F238E27FC236}">
                  <a16:creationId xmlns:a16="http://schemas.microsoft.com/office/drawing/2014/main" id="{5D559392-02B4-471A-1196-A9EB899AA439}"/>
                </a:ext>
              </a:extLst>
            </xdr:cNvPr>
            <xdr:cNvGraphicFramePr/>
          </xdr:nvGraphicFramePr>
          <xdr:xfrm>
            <a:off x="0" y="0"/>
            <a:ext cx="0" cy="0"/>
          </xdr:xfrm>
          <a:graphic>
            <a:graphicData uri="http://schemas.microsoft.com/office/drawing/2010/slicer">
              <sle:slicer xmlns:sle="http://schemas.microsoft.com/office/drawing/2010/slicer" name="stats_status 3"/>
            </a:graphicData>
          </a:graphic>
        </xdr:graphicFrame>
      </mc:Choice>
      <mc:Fallback xmlns="">
        <xdr:sp macro="" textlink="">
          <xdr:nvSpPr>
            <xdr:cNvPr id="0" name=""/>
            <xdr:cNvSpPr>
              <a:spLocks noTextEdit="1"/>
            </xdr:cNvSpPr>
          </xdr:nvSpPr>
          <xdr:spPr>
            <a:xfrm>
              <a:off x="10752060" y="1429120"/>
              <a:ext cx="1825749" cy="2718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31</xdr:row>
      <xdr:rowOff>11076</xdr:rowOff>
    </xdr:from>
    <xdr:to>
      <xdr:col>10</xdr:col>
      <xdr:colOff>55378</xdr:colOff>
      <xdr:row>53</xdr:row>
      <xdr:rowOff>39872</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9EBD4899-D105-4CBE-9622-890FE1A14B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5916576"/>
              <a:ext cx="6151378" cy="421979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11076</xdr:colOff>
      <xdr:row>9</xdr:row>
      <xdr:rowOff>55379</xdr:rowOff>
    </xdr:from>
    <xdr:to>
      <xdr:col>10</xdr:col>
      <xdr:colOff>376570</xdr:colOff>
      <xdr:row>31</xdr:row>
      <xdr:rowOff>15950</xdr:rowOff>
    </xdr:to>
    <xdr:graphicFrame macro="">
      <xdr:nvGraphicFramePr>
        <xdr:cNvPr id="8" name="Chart 7">
          <a:extLst>
            <a:ext uri="{FF2B5EF4-FFF2-40B4-BE49-F238E27FC236}">
              <a16:creationId xmlns:a16="http://schemas.microsoft.com/office/drawing/2014/main" id="{0DEFF0AB-BB33-4B08-9694-C05594739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55378</xdr:colOff>
      <xdr:row>31</xdr:row>
      <xdr:rowOff>22150</xdr:rowOff>
    </xdr:from>
    <xdr:to>
      <xdr:col>19</xdr:col>
      <xdr:colOff>265814</xdr:colOff>
      <xdr:row>53</xdr:row>
      <xdr:rowOff>33227</xdr:rowOff>
    </xdr:to>
    <xdr:graphicFrame macro="">
      <xdr:nvGraphicFramePr>
        <xdr:cNvPr id="9" name="Chart 8">
          <a:extLst>
            <a:ext uri="{FF2B5EF4-FFF2-40B4-BE49-F238E27FC236}">
              <a16:creationId xmlns:a16="http://schemas.microsoft.com/office/drawing/2014/main" id="{753860B5-732C-402C-B3DE-4036BEF9F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365495</xdr:colOff>
      <xdr:row>9</xdr:row>
      <xdr:rowOff>55379</xdr:rowOff>
    </xdr:from>
    <xdr:to>
      <xdr:col>19</xdr:col>
      <xdr:colOff>265814</xdr:colOff>
      <xdr:row>31</xdr:row>
      <xdr:rowOff>17112</xdr:rowOff>
    </xdr:to>
    <xdr:graphicFrame macro="">
      <xdr:nvGraphicFramePr>
        <xdr:cNvPr id="10" name="Chart 9">
          <a:extLst>
            <a:ext uri="{FF2B5EF4-FFF2-40B4-BE49-F238E27FC236}">
              <a16:creationId xmlns:a16="http://schemas.microsoft.com/office/drawing/2014/main" id="{11FB460F-F993-49E0-8690-057E01EC0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6</xdr:row>
      <xdr:rowOff>60319</xdr:rowOff>
    </xdr:from>
    <xdr:to>
      <xdr:col>28</xdr:col>
      <xdr:colOff>143983</xdr:colOff>
      <xdr:row>9</xdr:row>
      <xdr:rowOff>40191</xdr:rowOff>
    </xdr:to>
    <mc:AlternateContent xmlns:mc="http://schemas.openxmlformats.org/markup-compatibility/2006" xmlns:a14="http://schemas.microsoft.com/office/drawing/2010/main">
      <mc:Choice Requires="a14">
        <xdr:graphicFrame macro="">
          <xdr:nvGraphicFramePr>
            <xdr:cNvPr id="2" name="stats_status 4">
              <a:extLst>
                <a:ext uri="{FF2B5EF4-FFF2-40B4-BE49-F238E27FC236}">
                  <a16:creationId xmlns:a16="http://schemas.microsoft.com/office/drawing/2014/main" id="{20DE8C2E-2C63-4C63-9459-325493958F93}"/>
                </a:ext>
              </a:extLst>
            </xdr:cNvPr>
            <xdr:cNvGraphicFramePr/>
          </xdr:nvGraphicFramePr>
          <xdr:xfrm>
            <a:off x="0" y="0"/>
            <a:ext cx="0" cy="0"/>
          </xdr:xfrm>
          <a:graphic>
            <a:graphicData uri="http://schemas.microsoft.com/office/drawing/2010/slicer">
              <sle:slicer xmlns:sle="http://schemas.microsoft.com/office/drawing/2010/slicer" name="stats_status 4"/>
            </a:graphicData>
          </a:graphic>
        </xdr:graphicFrame>
      </mc:Choice>
      <mc:Fallback xmlns="">
        <xdr:sp macro="" textlink="">
          <xdr:nvSpPr>
            <xdr:cNvPr id="0" name=""/>
            <xdr:cNvSpPr>
              <a:spLocks noTextEdit="1"/>
            </xdr:cNvSpPr>
          </xdr:nvSpPr>
          <xdr:spPr>
            <a:xfrm>
              <a:off x="0" y="1190028"/>
              <a:ext cx="17106950" cy="544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15118</xdr:rowOff>
    </xdr:from>
    <xdr:to>
      <xdr:col>5</xdr:col>
      <xdr:colOff>454099</xdr:colOff>
      <xdr:row>5</xdr:row>
      <xdr:rowOff>185551</xdr:rowOff>
    </xdr:to>
    <xdr:sp macro="" textlink="">
      <xdr:nvSpPr>
        <xdr:cNvPr id="4" name="Rectangle: Rounded Corners 3">
          <a:extLst>
            <a:ext uri="{FF2B5EF4-FFF2-40B4-BE49-F238E27FC236}">
              <a16:creationId xmlns:a16="http://schemas.microsoft.com/office/drawing/2014/main" id="{255528E7-4D4E-DB22-583D-E70268E8A1C9}"/>
            </a:ext>
          </a:extLst>
        </xdr:cNvPr>
        <xdr:cNvSpPr/>
      </xdr:nvSpPr>
      <xdr:spPr>
        <a:xfrm>
          <a:off x="0" y="15118"/>
          <a:ext cx="3499884" cy="1111857"/>
        </a:xfrm>
        <a:prstGeom prst="roundRect">
          <a:avLst/>
        </a:prstGeom>
        <a:solidFill>
          <a:srgbClr val="2B0A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2400" b="1" i="1">
              <a:solidFill>
                <a:srgbClr val="F28C40"/>
              </a:solidFill>
              <a:latin typeface="Trebuchet MS" panose="020B0603020202020204" pitchFamily="34" charset="0"/>
              <a:cs typeface="Times New Roman" panose="02020603050405020304" pitchFamily="18" charset="0"/>
            </a:rPr>
            <a:t>Team</a:t>
          </a:r>
          <a:r>
            <a:rPr lang="en-IN" sz="2400" b="1" i="1" baseline="0">
              <a:latin typeface="Trebuchet MS" panose="020B0603020202020204" pitchFamily="34" charset="0"/>
              <a:cs typeface="Times New Roman" panose="02020603050405020304" pitchFamily="18" charset="0"/>
            </a:rPr>
            <a:t> </a:t>
          </a:r>
          <a:r>
            <a:rPr lang="en-IN" sz="2400" b="1" i="1" baseline="0">
              <a:solidFill>
                <a:schemeClr val="accent6"/>
              </a:solidFill>
              <a:latin typeface="Trebuchet MS" panose="020B0603020202020204" pitchFamily="34" charset="0"/>
              <a:cs typeface="Times New Roman" panose="02020603050405020304" pitchFamily="18" charset="0"/>
            </a:rPr>
            <a:t>Stats</a:t>
          </a:r>
          <a:r>
            <a:rPr lang="en-IN" sz="2400" b="1" i="1" baseline="0">
              <a:latin typeface="Trebuchet MS" panose="020B0603020202020204" pitchFamily="34" charset="0"/>
              <a:cs typeface="Times New Roman" panose="02020603050405020304" pitchFamily="18" charset="0"/>
            </a:rPr>
            <a:t> </a:t>
          </a:r>
          <a:r>
            <a:rPr lang="en-IN" sz="2400" b="1" i="1" baseline="0">
              <a:solidFill>
                <a:srgbClr val="F28C40"/>
              </a:solidFill>
              <a:latin typeface="Trebuchet MS" panose="020B0603020202020204" pitchFamily="34" charset="0"/>
              <a:cs typeface="Times New Roman" panose="02020603050405020304" pitchFamily="18" charset="0"/>
            </a:rPr>
            <a:t>Analysis</a:t>
          </a:r>
          <a:endParaRPr lang="en-IN" sz="2400" b="1" i="1">
            <a:solidFill>
              <a:srgbClr val="F28C40"/>
            </a:solidFill>
            <a:latin typeface="Trebuchet MS" panose="020B0603020202020204" pitchFamily="34" charset="0"/>
            <a:cs typeface="Times New Roman" panose="02020603050405020304" pitchFamily="18" charset="0"/>
          </a:endParaRPr>
        </a:p>
      </xdr:txBody>
    </xdr:sp>
    <xdr:clientData/>
  </xdr:twoCellAnchor>
  <xdr:twoCellAnchor>
    <xdr:from>
      <xdr:col>5</xdr:col>
      <xdr:colOff>500466</xdr:colOff>
      <xdr:row>0</xdr:row>
      <xdr:rowOff>166309</xdr:rowOff>
    </xdr:from>
    <xdr:to>
      <xdr:col>9</xdr:col>
      <xdr:colOff>249079</xdr:colOff>
      <xdr:row>5</xdr:row>
      <xdr:rowOff>151866</xdr:rowOff>
    </xdr:to>
    <xdr:grpSp>
      <xdr:nvGrpSpPr>
        <xdr:cNvPr id="13" name="Group 12">
          <a:extLst>
            <a:ext uri="{FF2B5EF4-FFF2-40B4-BE49-F238E27FC236}">
              <a16:creationId xmlns:a16="http://schemas.microsoft.com/office/drawing/2014/main" id="{9FDD3AA8-C90C-4F98-8EE2-3BE0C0F9FE81}"/>
            </a:ext>
          </a:extLst>
        </xdr:cNvPr>
        <xdr:cNvGrpSpPr/>
      </xdr:nvGrpSpPr>
      <xdr:grpSpPr>
        <a:xfrm>
          <a:off x="3546251" y="166309"/>
          <a:ext cx="2185241" cy="926981"/>
          <a:chOff x="6573643" y="2522249"/>
          <a:chExt cx="1466599" cy="830259"/>
        </a:xfrm>
      </xdr:grpSpPr>
      <xdr:sp macro="" textlink="kpi!G3">
        <xdr:nvSpPr>
          <xdr:cNvPr id="14" name="Arrow: Chevron 13">
            <a:extLst>
              <a:ext uri="{FF2B5EF4-FFF2-40B4-BE49-F238E27FC236}">
                <a16:creationId xmlns:a16="http://schemas.microsoft.com/office/drawing/2014/main" id="{0F37CECB-55ED-7034-759A-118044A461EA}"/>
              </a:ext>
            </a:extLst>
          </xdr:cNvPr>
          <xdr:cNvSpPr/>
        </xdr:nvSpPr>
        <xdr:spPr>
          <a:xfrm>
            <a:off x="6573643" y="2522249"/>
            <a:ext cx="1342929" cy="606752"/>
          </a:xfrm>
          <a:prstGeom prst="chevron">
            <a:avLst>
              <a:gd name="adj" fmla="val 40000"/>
            </a:avLst>
          </a:prstGeom>
          <a:solidFill>
            <a:srgbClr val="7030A0"/>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9799927C-B120-4A4C-B544-21898257AE02}" type="TxLink">
              <a:rPr lang="en-US" sz="1600" b="0" i="0" u="none" strike="noStrike">
                <a:solidFill>
                  <a:srgbClr val="FFFFFF"/>
                </a:solidFill>
                <a:latin typeface="Times New Roman" panose="02020603050405020304" pitchFamily="18" charset="0"/>
                <a:cs typeface="Times New Roman" panose="02020603050405020304" pitchFamily="18" charset="0"/>
              </a:rPr>
              <a:pPr algn="ctr"/>
              <a:t>Season</a:t>
            </a:fld>
            <a:endParaRPr lang="en-IN" sz="1600" b="0">
              <a:latin typeface="Times New Roman" panose="02020603050405020304" pitchFamily="18" charset="0"/>
              <a:cs typeface="Times New Roman" panose="02020603050405020304" pitchFamily="18" charset="0"/>
            </a:endParaRPr>
          </a:p>
        </xdr:txBody>
      </xdr:sp>
      <xdr:sp macro="" textlink="kpi!G4">
        <xdr:nvSpPr>
          <xdr:cNvPr id="15" name="Freeform: Shape 14">
            <a:extLst>
              <a:ext uri="{FF2B5EF4-FFF2-40B4-BE49-F238E27FC236}">
                <a16:creationId xmlns:a16="http://schemas.microsoft.com/office/drawing/2014/main" id="{B73C8CF4-009C-A7C2-E400-D12BCD035208}"/>
              </a:ext>
            </a:extLst>
          </xdr:cNvPr>
          <xdr:cNvSpPr/>
        </xdr:nvSpPr>
        <xdr:spPr>
          <a:xfrm>
            <a:off x="6906714" y="2830153"/>
            <a:ext cx="1133528" cy="522355"/>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2">
              <a:alpha val="90000"/>
            </a:schemeClr>
          </a:solidFill>
          <a:ln>
            <a:noFill/>
          </a:ln>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890298EA-FF12-4566-B42F-E405FB064618}" type="TxLink">
              <a:rPr lang="en-US" sz="1600" b="1" i="0" u="none" strike="noStrike" kern="1200">
                <a:solidFill>
                  <a:schemeClr val="bg1"/>
                </a:solidFill>
                <a:latin typeface="Times New Roman" panose="02020603050405020304" pitchFamily="18" charset="0"/>
                <a:cs typeface="Times New Roman" panose="02020603050405020304" pitchFamily="18" charset="0"/>
              </a:rPr>
              <a:pPr marL="0" lvl="0" indent="0" algn="ctr" defTabSz="755650">
                <a:lnSpc>
                  <a:spcPct val="90000"/>
                </a:lnSpc>
                <a:spcBef>
                  <a:spcPct val="0"/>
                </a:spcBef>
                <a:spcAft>
                  <a:spcPct val="35000"/>
                </a:spcAft>
                <a:buNone/>
              </a:pPr>
              <a:t> Season 1</a:t>
            </a:fld>
            <a:endParaRPr lang="en-IN" sz="1600" b="1" kern="1200">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9</xdr:col>
      <xdr:colOff>304283</xdr:colOff>
      <xdr:row>0</xdr:row>
      <xdr:rowOff>166309</xdr:rowOff>
    </xdr:from>
    <xdr:to>
      <xdr:col>13</xdr:col>
      <xdr:colOff>45869</xdr:colOff>
      <xdr:row>5</xdr:row>
      <xdr:rowOff>151866</xdr:rowOff>
    </xdr:to>
    <xdr:grpSp>
      <xdr:nvGrpSpPr>
        <xdr:cNvPr id="29" name="Group 28">
          <a:extLst>
            <a:ext uri="{FF2B5EF4-FFF2-40B4-BE49-F238E27FC236}">
              <a16:creationId xmlns:a16="http://schemas.microsoft.com/office/drawing/2014/main" id="{12C981CF-0236-290C-C8CF-AECFA04A0088}"/>
            </a:ext>
          </a:extLst>
        </xdr:cNvPr>
        <xdr:cNvGrpSpPr/>
      </xdr:nvGrpSpPr>
      <xdr:grpSpPr>
        <a:xfrm>
          <a:off x="5786696" y="166309"/>
          <a:ext cx="2178214" cy="926981"/>
          <a:chOff x="6573643" y="2522249"/>
          <a:chExt cx="1466599" cy="830259"/>
        </a:xfrm>
      </xdr:grpSpPr>
      <xdr:sp macro="" textlink="kpi!H3">
        <xdr:nvSpPr>
          <xdr:cNvPr id="30" name="Arrow: Chevron 29">
            <a:extLst>
              <a:ext uri="{FF2B5EF4-FFF2-40B4-BE49-F238E27FC236}">
                <a16:creationId xmlns:a16="http://schemas.microsoft.com/office/drawing/2014/main" id="{76C7C419-F813-8740-7856-0CCF3E396B9D}"/>
              </a:ext>
            </a:extLst>
          </xdr:cNvPr>
          <xdr:cNvSpPr/>
        </xdr:nvSpPr>
        <xdr:spPr>
          <a:xfrm>
            <a:off x="6573643" y="2522249"/>
            <a:ext cx="1342929" cy="606752"/>
          </a:xfrm>
          <a:prstGeom prst="chevron">
            <a:avLst>
              <a:gd name="adj" fmla="val 40000"/>
            </a:avLst>
          </a:prstGeom>
          <a:solidFill>
            <a:srgbClr val="7030A0"/>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7E76A6CA-136F-4E5B-A930-A56FA0A682EA}" type="TxLink">
              <a:rPr lang="en-US" sz="1600" b="0" i="0" u="none" strike="noStrike">
                <a:solidFill>
                  <a:srgbClr val="FFFFFF"/>
                </a:solidFill>
                <a:latin typeface="Times New Roman" panose="02020603050405020304" pitchFamily="18" charset="0"/>
                <a:cs typeface="Times New Roman" panose="02020603050405020304" pitchFamily="18" charset="0"/>
              </a:rPr>
              <a:pPr algn="ctr"/>
              <a:t>Winner</a:t>
            </a:fld>
            <a:endParaRPr lang="en-IN" sz="1600" b="0">
              <a:latin typeface="Times New Roman" panose="02020603050405020304" pitchFamily="18" charset="0"/>
              <a:cs typeface="Times New Roman" panose="02020603050405020304" pitchFamily="18" charset="0"/>
            </a:endParaRPr>
          </a:p>
        </xdr:txBody>
      </xdr:sp>
      <xdr:sp macro="" textlink="kpi!H4">
        <xdr:nvSpPr>
          <xdr:cNvPr id="31" name="Freeform: Shape 30">
            <a:extLst>
              <a:ext uri="{FF2B5EF4-FFF2-40B4-BE49-F238E27FC236}">
                <a16:creationId xmlns:a16="http://schemas.microsoft.com/office/drawing/2014/main" id="{11C59233-562C-266E-8ACE-0EB4115ABD2A}"/>
              </a:ext>
            </a:extLst>
          </xdr:cNvPr>
          <xdr:cNvSpPr/>
        </xdr:nvSpPr>
        <xdr:spPr>
          <a:xfrm>
            <a:off x="6906714" y="2830153"/>
            <a:ext cx="1133528" cy="522355"/>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2">
              <a:alpha val="90000"/>
            </a:schemeClr>
          </a:solidFill>
          <a:ln>
            <a:noFill/>
          </a:ln>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356EDAE6-B613-4C0C-BC0E-368EC5CD8AE0}" type="TxLink">
              <a:rPr lang="en-US" sz="1600" b="1" i="0" u="none" strike="noStrike" kern="1200">
                <a:solidFill>
                  <a:schemeClr val="bg1"/>
                </a:solidFill>
                <a:latin typeface="Times New Roman" panose="02020603050405020304" pitchFamily="18" charset="0"/>
                <a:cs typeface="Times New Roman" panose="02020603050405020304" pitchFamily="18" charset="0"/>
              </a:rPr>
              <a:pPr marL="0" lvl="0" indent="0" algn="ctr" defTabSz="755650">
                <a:lnSpc>
                  <a:spcPct val="90000"/>
                </a:lnSpc>
                <a:spcBef>
                  <a:spcPct val="0"/>
                </a:spcBef>
                <a:spcAft>
                  <a:spcPct val="35000"/>
                </a:spcAft>
                <a:buNone/>
              </a:pPr>
              <a:t>Jaipur Pink Panthers</a:t>
            </a:fld>
            <a:endParaRPr lang="en-IN" sz="1600" b="1" kern="1200">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13</xdr:col>
      <xdr:colOff>126955</xdr:colOff>
      <xdr:row>0</xdr:row>
      <xdr:rowOff>166310</xdr:rowOff>
    </xdr:from>
    <xdr:to>
      <xdr:col>16</xdr:col>
      <xdr:colOff>482015</xdr:colOff>
      <xdr:row>5</xdr:row>
      <xdr:rowOff>151868</xdr:rowOff>
    </xdr:to>
    <xdr:grpSp>
      <xdr:nvGrpSpPr>
        <xdr:cNvPr id="32" name="Group 31">
          <a:extLst>
            <a:ext uri="{FF2B5EF4-FFF2-40B4-BE49-F238E27FC236}">
              <a16:creationId xmlns:a16="http://schemas.microsoft.com/office/drawing/2014/main" id="{33403411-2B32-A7AB-17E5-EAB97E7E7434}"/>
            </a:ext>
          </a:extLst>
        </xdr:cNvPr>
        <xdr:cNvGrpSpPr/>
      </xdr:nvGrpSpPr>
      <xdr:grpSpPr>
        <a:xfrm>
          <a:off x="8045996" y="166310"/>
          <a:ext cx="2182531" cy="926982"/>
          <a:chOff x="6573643" y="2522249"/>
          <a:chExt cx="1466599" cy="830259"/>
        </a:xfrm>
      </xdr:grpSpPr>
      <xdr:sp macro="" textlink="kpi!I3">
        <xdr:nvSpPr>
          <xdr:cNvPr id="33" name="Arrow: Chevron 32">
            <a:extLst>
              <a:ext uri="{FF2B5EF4-FFF2-40B4-BE49-F238E27FC236}">
                <a16:creationId xmlns:a16="http://schemas.microsoft.com/office/drawing/2014/main" id="{0186D30E-C6A1-A191-BE2C-770336137D41}"/>
              </a:ext>
            </a:extLst>
          </xdr:cNvPr>
          <xdr:cNvSpPr/>
        </xdr:nvSpPr>
        <xdr:spPr>
          <a:xfrm>
            <a:off x="6573643" y="2522249"/>
            <a:ext cx="1342929" cy="606752"/>
          </a:xfrm>
          <a:prstGeom prst="chevron">
            <a:avLst>
              <a:gd name="adj" fmla="val 40000"/>
            </a:avLst>
          </a:prstGeom>
          <a:solidFill>
            <a:srgbClr val="7030A0"/>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BF755712-A6DE-40AE-A217-3EA499A3DE0B}" type="TxLink">
              <a:rPr lang="en-US" sz="1600" b="0" i="0" u="none" strike="noStrike">
                <a:solidFill>
                  <a:srgbClr val="FFFFFF"/>
                </a:solidFill>
                <a:latin typeface="Times New Roman" panose="02020603050405020304" pitchFamily="18" charset="0"/>
                <a:cs typeface="Times New Roman" panose="02020603050405020304" pitchFamily="18" charset="0"/>
              </a:rPr>
              <a:pPr algn="ctr"/>
              <a:t>Runner Up</a:t>
            </a:fld>
            <a:endParaRPr lang="en-IN" sz="1600" b="0">
              <a:latin typeface="Times New Roman" panose="02020603050405020304" pitchFamily="18" charset="0"/>
              <a:cs typeface="Times New Roman" panose="02020603050405020304" pitchFamily="18" charset="0"/>
            </a:endParaRPr>
          </a:p>
        </xdr:txBody>
      </xdr:sp>
      <xdr:sp macro="" textlink="kpi!I4">
        <xdr:nvSpPr>
          <xdr:cNvPr id="34" name="Freeform: Shape 33">
            <a:extLst>
              <a:ext uri="{FF2B5EF4-FFF2-40B4-BE49-F238E27FC236}">
                <a16:creationId xmlns:a16="http://schemas.microsoft.com/office/drawing/2014/main" id="{9ABBDB8D-B230-1368-3158-7F5ED3F1033A}"/>
              </a:ext>
            </a:extLst>
          </xdr:cNvPr>
          <xdr:cNvSpPr/>
        </xdr:nvSpPr>
        <xdr:spPr>
          <a:xfrm>
            <a:off x="6906714" y="2830153"/>
            <a:ext cx="1133528" cy="522355"/>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2">
              <a:alpha val="90000"/>
            </a:schemeClr>
          </a:solidFill>
          <a:ln>
            <a:noFill/>
          </a:ln>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29E417A4-8098-42C7-9093-DAF1A9B3DD75}" type="TxLink">
              <a:rPr lang="en-US" sz="1600" b="1" i="0" u="none" strike="noStrike" kern="1200">
                <a:solidFill>
                  <a:schemeClr val="bg1"/>
                </a:solidFill>
                <a:latin typeface="Times New Roman" panose="02020603050405020304" pitchFamily="18" charset="0"/>
                <a:cs typeface="Times New Roman" panose="02020603050405020304" pitchFamily="18" charset="0"/>
              </a:rPr>
              <a:pPr marL="0" lvl="0" indent="0" algn="ctr" defTabSz="755650">
                <a:lnSpc>
                  <a:spcPct val="90000"/>
                </a:lnSpc>
                <a:spcBef>
                  <a:spcPct val="0"/>
                </a:spcBef>
                <a:spcAft>
                  <a:spcPct val="35000"/>
                </a:spcAft>
                <a:buNone/>
              </a:pPr>
              <a:t>U Mumba</a:t>
            </a:fld>
            <a:endParaRPr lang="en-IN" sz="1600" b="1" kern="1200">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16</xdr:col>
      <xdr:colOff>557099</xdr:colOff>
      <xdr:row>0</xdr:row>
      <xdr:rowOff>166309</xdr:rowOff>
    </xdr:from>
    <xdr:to>
      <xdr:col>20</xdr:col>
      <xdr:colOff>305711</xdr:colOff>
      <xdr:row>5</xdr:row>
      <xdr:rowOff>151866</xdr:rowOff>
    </xdr:to>
    <xdr:grpSp>
      <xdr:nvGrpSpPr>
        <xdr:cNvPr id="35" name="Group 34">
          <a:extLst>
            <a:ext uri="{FF2B5EF4-FFF2-40B4-BE49-F238E27FC236}">
              <a16:creationId xmlns:a16="http://schemas.microsoft.com/office/drawing/2014/main" id="{872938F8-E932-972B-B711-FA208F58CC03}"/>
            </a:ext>
          </a:extLst>
        </xdr:cNvPr>
        <xdr:cNvGrpSpPr/>
      </xdr:nvGrpSpPr>
      <xdr:grpSpPr>
        <a:xfrm>
          <a:off x="10303611" y="166309"/>
          <a:ext cx="2185240" cy="926981"/>
          <a:chOff x="6573643" y="2522249"/>
          <a:chExt cx="1466599" cy="830259"/>
        </a:xfrm>
      </xdr:grpSpPr>
      <xdr:sp macro="" textlink="kpi!J3">
        <xdr:nvSpPr>
          <xdr:cNvPr id="36" name="Arrow: Chevron 35">
            <a:extLst>
              <a:ext uri="{FF2B5EF4-FFF2-40B4-BE49-F238E27FC236}">
                <a16:creationId xmlns:a16="http://schemas.microsoft.com/office/drawing/2014/main" id="{0C769380-A038-E8F8-6DBD-129A35E2D8B3}"/>
              </a:ext>
            </a:extLst>
          </xdr:cNvPr>
          <xdr:cNvSpPr/>
        </xdr:nvSpPr>
        <xdr:spPr>
          <a:xfrm>
            <a:off x="6573643" y="2522249"/>
            <a:ext cx="1342929" cy="606752"/>
          </a:xfrm>
          <a:prstGeom prst="chevron">
            <a:avLst>
              <a:gd name="adj" fmla="val 40000"/>
            </a:avLst>
          </a:prstGeom>
          <a:solidFill>
            <a:srgbClr val="7030A0"/>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9F6D13AF-09F9-4E38-B606-F21C2CB881DB}" type="TxLink">
              <a:rPr lang="en-US" sz="1200" b="0" i="0" u="none" strike="noStrike">
                <a:solidFill>
                  <a:srgbClr val="FFFFFF"/>
                </a:solidFill>
                <a:latin typeface="Times New Roman" panose="02020603050405020304" pitchFamily="18" charset="0"/>
                <a:cs typeface="Times New Roman" panose="02020603050405020304" pitchFamily="18" charset="0"/>
              </a:rPr>
              <a:pPr algn="ctr"/>
              <a:t>Player of the Match</a:t>
            </a:fld>
            <a:endParaRPr lang="en-IN" sz="1200" b="0">
              <a:latin typeface="Times New Roman" panose="02020603050405020304" pitchFamily="18" charset="0"/>
              <a:cs typeface="Times New Roman" panose="02020603050405020304" pitchFamily="18" charset="0"/>
            </a:endParaRPr>
          </a:p>
        </xdr:txBody>
      </xdr:sp>
      <xdr:sp macro="" textlink="kpi!J4">
        <xdr:nvSpPr>
          <xdr:cNvPr id="37" name="Freeform: Shape 36">
            <a:extLst>
              <a:ext uri="{FF2B5EF4-FFF2-40B4-BE49-F238E27FC236}">
                <a16:creationId xmlns:a16="http://schemas.microsoft.com/office/drawing/2014/main" id="{D28FFD62-B23A-3BAC-DEA9-80167C0091B7}"/>
              </a:ext>
            </a:extLst>
          </xdr:cNvPr>
          <xdr:cNvSpPr/>
        </xdr:nvSpPr>
        <xdr:spPr>
          <a:xfrm>
            <a:off x="6906714" y="2830153"/>
            <a:ext cx="1133528" cy="522355"/>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2">
              <a:alpha val="90000"/>
            </a:schemeClr>
          </a:solidFill>
          <a:ln>
            <a:noFill/>
          </a:ln>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7E3752A1-B2B5-4C82-9510-CDCA70504255}" type="TxLink">
              <a:rPr lang="en-US" sz="1600" b="1" i="0" u="none" strike="noStrike" kern="1200">
                <a:solidFill>
                  <a:schemeClr val="bg1"/>
                </a:solidFill>
                <a:latin typeface="Times New Roman" panose="02020603050405020304" pitchFamily="18" charset="0"/>
                <a:cs typeface="Times New Roman" panose="02020603050405020304" pitchFamily="18" charset="0"/>
              </a:rPr>
              <a:pPr marL="0" lvl="0" indent="0" algn="ctr" defTabSz="755650">
                <a:lnSpc>
                  <a:spcPct val="90000"/>
                </a:lnSpc>
                <a:spcBef>
                  <a:spcPct val="0"/>
                </a:spcBef>
                <a:spcAft>
                  <a:spcPct val="35000"/>
                </a:spcAft>
                <a:buNone/>
              </a:pPr>
              <a:t>Maninder Singh</a:t>
            </a:fld>
            <a:endParaRPr lang="en-IN" sz="1600" b="1" kern="1200">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20</xdr:col>
      <xdr:colOff>393204</xdr:colOff>
      <xdr:row>0</xdr:row>
      <xdr:rowOff>181429</xdr:rowOff>
    </xdr:from>
    <xdr:to>
      <xdr:col>24</xdr:col>
      <xdr:colOff>134790</xdr:colOff>
      <xdr:row>5</xdr:row>
      <xdr:rowOff>164713</xdr:rowOff>
    </xdr:to>
    <xdr:grpSp>
      <xdr:nvGrpSpPr>
        <xdr:cNvPr id="44" name="Group 43">
          <a:extLst>
            <a:ext uri="{FF2B5EF4-FFF2-40B4-BE49-F238E27FC236}">
              <a16:creationId xmlns:a16="http://schemas.microsoft.com/office/drawing/2014/main" id="{3F47371F-8816-91F8-B65F-E1DC58D4AA6E}"/>
            </a:ext>
          </a:extLst>
        </xdr:cNvPr>
        <xdr:cNvGrpSpPr/>
      </xdr:nvGrpSpPr>
      <xdr:grpSpPr>
        <a:xfrm>
          <a:off x="12576344" y="181429"/>
          <a:ext cx="2178213" cy="924708"/>
          <a:chOff x="6573643" y="2522249"/>
          <a:chExt cx="1466599" cy="830259"/>
        </a:xfrm>
      </xdr:grpSpPr>
      <xdr:sp macro="" textlink="kpi!L3">
        <xdr:nvSpPr>
          <xdr:cNvPr id="45" name="Arrow: Chevron 44">
            <a:extLst>
              <a:ext uri="{FF2B5EF4-FFF2-40B4-BE49-F238E27FC236}">
                <a16:creationId xmlns:a16="http://schemas.microsoft.com/office/drawing/2014/main" id="{D71293D6-C051-0B5E-122B-0C5E70472F7C}"/>
              </a:ext>
            </a:extLst>
          </xdr:cNvPr>
          <xdr:cNvSpPr/>
        </xdr:nvSpPr>
        <xdr:spPr>
          <a:xfrm>
            <a:off x="6573643" y="2522249"/>
            <a:ext cx="1342929" cy="606752"/>
          </a:xfrm>
          <a:prstGeom prst="chevron">
            <a:avLst>
              <a:gd name="adj" fmla="val 40000"/>
            </a:avLst>
          </a:prstGeom>
          <a:solidFill>
            <a:srgbClr val="7030A0"/>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5FCA9D1F-DCA7-453C-98D5-B863058FEE25}" type="TxLink">
              <a:rPr lang="en-US" sz="1600" b="0" i="0" u="none" strike="noStrike">
                <a:solidFill>
                  <a:srgbClr val="FFFFFF"/>
                </a:solidFill>
                <a:latin typeface="Times New Roman" panose="02020603050405020304" pitchFamily="18" charset="0"/>
                <a:cs typeface="Times New Roman" panose="02020603050405020304" pitchFamily="18" charset="0"/>
              </a:rPr>
              <a:pPr algn="ctr"/>
              <a:t>Best Defender</a:t>
            </a:fld>
            <a:endParaRPr lang="en-IN" sz="1600" b="0">
              <a:latin typeface="Times New Roman" panose="02020603050405020304" pitchFamily="18" charset="0"/>
              <a:cs typeface="Times New Roman" panose="02020603050405020304" pitchFamily="18" charset="0"/>
            </a:endParaRPr>
          </a:p>
        </xdr:txBody>
      </xdr:sp>
      <xdr:sp macro="" textlink="kpi!L4">
        <xdr:nvSpPr>
          <xdr:cNvPr id="46" name="Freeform: Shape 45">
            <a:extLst>
              <a:ext uri="{FF2B5EF4-FFF2-40B4-BE49-F238E27FC236}">
                <a16:creationId xmlns:a16="http://schemas.microsoft.com/office/drawing/2014/main" id="{45FF5857-8F0F-5C41-AFB5-F0B58C242D7C}"/>
              </a:ext>
            </a:extLst>
          </xdr:cNvPr>
          <xdr:cNvSpPr/>
        </xdr:nvSpPr>
        <xdr:spPr>
          <a:xfrm>
            <a:off x="6906714" y="2830153"/>
            <a:ext cx="1133528" cy="522355"/>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2">
              <a:alpha val="90000"/>
            </a:schemeClr>
          </a:solidFill>
          <a:ln>
            <a:noFill/>
          </a:ln>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D2FDF767-E461-4069-B73A-CE83CF5F3969}" type="TxLink">
              <a:rPr lang="en-US" sz="1600" b="1" i="0" u="none" strike="noStrike" kern="1200">
                <a:solidFill>
                  <a:schemeClr val="bg1"/>
                </a:solidFill>
                <a:latin typeface="Times New Roman" panose="02020603050405020304" pitchFamily="18" charset="0"/>
                <a:cs typeface="Times New Roman" panose="02020603050405020304" pitchFamily="18" charset="0"/>
              </a:rPr>
              <a:pPr marL="0" lvl="0" indent="0" algn="ctr" defTabSz="755650">
                <a:lnSpc>
                  <a:spcPct val="90000"/>
                </a:lnSpc>
                <a:spcBef>
                  <a:spcPct val="0"/>
                </a:spcBef>
                <a:spcAft>
                  <a:spcPct val="35000"/>
                </a:spcAft>
                <a:buNone/>
              </a:pPr>
              <a:t>Manjeet Chillar</a:t>
            </a:fld>
            <a:endParaRPr lang="en-IN" sz="1600" b="1" kern="1200">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24</xdr:col>
      <xdr:colOff>227043</xdr:colOff>
      <xdr:row>0</xdr:row>
      <xdr:rowOff>181428</xdr:rowOff>
    </xdr:from>
    <xdr:to>
      <xdr:col>27</xdr:col>
      <xdr:colOff>589130</xdr:colOff>
      <xdr:row>5</xdr:row>
      <xdr:rowOff>164713</xdr:rowOff>
    </xdr:to>
    <xdr:grpSp>
      <xdr:nvGrpSpPr>
        <xdr:cNvPr id="47" name="Group 46">
          <a:extLst>
            <a:ext uri="{FF2B5EF4-FFF2-40B4-BE49-F238E27FC236}">
              <a16:creationId xmlns:a16="http://schemas.microsoft.com/office/drawing/2014/main" id="{C01D47BA-A57E-6134-44A1-FC260801226A}"/>
            </a:ext>
          </a:extLst>
        </xdr:cNvPr>
        <xdr:cNvGrpSpPr/>
      </xdr:nvGrpSpPr>
      <xdr:grpSpPr>
        <a:xfrm>
          <a:off x="14846810" y="181428"/>
          <a:ext cx="2189558" cy="924709"/>
          <a:chOff x="6573643" y="2522249"/>
          <a:chExt cx="1466599" cy="830259"/>
        </a:xfrm>
      </xdr:grpSpPr>
      <xdr:sp macro="" textlink="kpi!M3">
        <xdr:nvSpPr>
          <xdr:cNvPr id="48" name="Arrow: Chevron 47">
            <a:extLst>
              <a:ext uri="{FF2B5EF4-FFF2-40B4-BE49-F238E27FC236}">
                <a16:creationId xmlns:a16="http://schemas.microsoft.com/office/drawing/2014/main" id="{08A3BD2B-E886-3AC9-F81E-5CEDF038422B}"/>
              </a:ext>
            </a:extLst>
          </xdr:cNvPr>
          <xdr:cNvSpPr/>
        </xdr:nvSpPr>
        <xdr:spPr>
          <a:xfrm>
            <a:off x="6573643" y="2522249"/>
            <a:ext cx="1342929" cy="606752"/>
          </a:xfrm>
          <a:prstGeom prst="chevron">
            <a:avLst>
              <a:gd name="adj" fmla="val 40000"/>
            </a:avLst>
          </a:prstGeom>
          <a:solidFill>
            <a:srgbClr val="7030A0"/>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6811D06C-1701-4629-A1D7-C3917B7014D3}" type="TxLink">
              <a:rPr lang="en-US" sz="1600" b="0" i="0" u="none" strike="noStrike">
                <a:solidFill>
                  <a:srgbClr val="FFFFFF"/>
                </a:solidFill>
                <a:latin typeface="Times New Roman" panose="02020603050405020304" pitchFamily="18" charset="0"/>
                <a:cs typeface="Times New Roman" panose="02020603050405020304" pitchFamily="18" charset="0"/>
              </a:rPr>
              <a:pPr algn="ctr"/>
              <a:t>Best Raider</a:t>
            </a:fld>
            <a:endParaRPr lang="en-IN" sz="1600" b="0">
              <a:latin typeface="Times New Roman" panose="02020603050405020304" pitchFamily="18" charset="0"/>
              <a:cs typeface="Times New Roman" panose="02020603050405020304" pitchFamily="18" charset="0"/>
            </a:endParaRPr>
          </a:p>
        </xdr:txBody>
      </xdr:sp>
      <xdr:sp macro="" textlink="kpi!M4">
        <xdr:nvSpPr>
          <xdr:cNvPr id="49" name="Freeform: Shape 48">
            <a:extLst>
              <a:ext uri="{FF2B5EF4-FFF2-40B4-BE49-F238E27FC236}">
                <a16:creationId xmlns:a16="http://schemas.microsoft.com/office/drawing/2014/main" id="{0B9655BA-9368-C67E-8266-5106125073F6}"/>
              </a:ext>
            </a:extLst>
          </xdr:cNvPr>
          <xdr:cNvSpPr/>
        </xdr:nvSpPr>
        <xdr:spPr>
          <a:xfrm>
            <a:off x="6906714" y="2830153"/>
            <a:ext cx="1133528" cy="522355"/>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2">
              <a:alpha val="90000"/>
            </a:schemeClr>
          </a:solidFill>
          <a:ln>
            <a:noFill/>
          </a:ln>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8A4EC2BC-76B4-4214-A188-A89899BE0FDB}" type="TxLink">
              <a:rPr lang="en-US" sz="1600" b="1" i="0" u="none" strike="noStrike" kern="1200">
                <a:solidFill>
                  <a:schemeClr val="bg1"/>
                </a:solidFill>
                <a:latin typeface="Times New Roman" panose="02020603050405020304" pitchFamily="18" charset="0"/>
                <a:cs typeface="Times New Roman" panose="02020603050405020304" pitchFamily="18" charset="0"/>
              </a:rPr>
              <a:pPr marL="0" lvl="0" indent="0" algn="ctr" defTabSz="755650">
                <a:lnSpc>
                  <a:spcPct val="90000"/>
                </a:lnSpc>
                <a:spcBef>
                  <a:spcPct val="0"/>
                </a:spcBef>
                <a:spcAft>
                  <a:spcPct val="35000"/>
                </a:spcAft>
                <a:buNone/>
              </a:pPr>
              <a:t>Anup Kumar</a:t>
            </a:fld>
            <a:endParaRPr lang="en-IN" sz="1600" b="1" kern="1200">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19</xdr:col>
      <xdr:colOff>280865</xdr:colOff>
      <xdr:row>9</xdr:row>
      <xdr:rowOff>48845</xdr:rowOff>
    </xdr:from>
    <xdr:to>
      <xdr:col>28</xdr:col>
      <xdr:colOff>143983</xdr:colOff>
      <xdr:row>53</xdr:row>
      <xdr:rowOff>44302</xdr:rowOff>
    </xdr:to>
    <xdr:graphicFrame macro="">
      <xdr:nvGraphicFramePr>
        <xdr:cNvPr id="3" name="Chart 2">
          <a:extLst>
            <a:ext uri="{FF2B5EF4-FFF2-40B4-BE49-F238E27FC236}">
              <a16:creationId xmlns:a16="http://schemas.microsoft.com/office/drawing/2014/main" id="{CDDA6C06-0DDA-4A09-B9BE-C6B414DE0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88604</xdr:colOff>
      <xdr:row>0</xdr:row>
      <xdr:rowOff>0</xdr:rowOff>
    </xdr:from>
    <xdr:to>
      <xdr:col>4</xdr:col>
      <xdr:colOff>297239</xdr:colOff>
      <xdr:row>3</xdr:row>
      <xdr:rowOff>66453</xdr:rowOff>
    </xdr:to>
    <xdr:pic>
      <xdr:nvPicPr>
        <xdr:cNvPr id="11" name="Picture 10">
          <a:extLst>
            <a:ext uri="{FF2B5EF4-FFF2-40B4-BE49-F238E27FC236}">
              <a16:creationId xmlns:a16="http://schemas.microsoft.com/office/drawing/2014/main" id="{3B9A0DB0-17CA-AD1B-3360-2FC91191E1F4}"/>
            </a:ext>
          </a:extLst>
        </xdr:cNvPr>
        <xdr:cNvPicPr>
          <a:picLocks noChangeAspect="1"/>
        </xdr:cNvPicPr>
      </xdr:nvPicPr>
      <xdr:blipFill rotWithShape="1">
        <a:blip xmlns:r="http://schemas.openxmlformats.org/officeDocument/2006/relationships" r:embed="rId6"/>
        <a:srcRect t="6494" b="19481"/>
        <a:stretch>
          <a:fillRect/>
        </a:stretch>
      </xdr:blipFill>
      <xdr:spPr>
        <a:xfrm>
          <a:off x="697761" y="0"/>
          <a:ext cx="2036106" cy="63130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yush shinde" refreshedDate="46267.943121875003" createdVersion="8" refreshedVersion="8" minRefreshableVersion="3" recordCount="80" xr:uid="{B967A2F0-7D47-44C3-A6C4-436CEDC69115}">
  <cacheSource type="worksheet">
    <worksheetSource name="Table14"/>
  </cacheSource>
  <cacheFields count="21">
    <cacheField name="stats_status" numFmtId="0">
      <sharedItems count="8">
        <s v=" Season 1"/>
        <s v=" Season 2"/>
        <s v=" Season 3"/>
        <s v=" Season 4"/>
        <s v=" Season 5"/>
        <s v=" Season 6"/>
        <s v=" Season 7"/>
        <s v="Total"/>
      </sharedItems>
    </cacheField>
    <cacheField name="team_name" numFmtId="0">
      <sharedItems count="12">
        <s v="Bengaluru Bulls"/>
        <s v="Dabang Delhi K.C."/>
        <s v="Jaipur Pink Panthers"/>
        <s v="Bengal Warriors"/>
        <s v="U Mumba"/>
        <s v="Patna Pirates"/>
        <s v="Puneri Paltan"/>
        <s v="Telugu Titans"/>
        <s v="Haryana Steelers"/>
        <s v="Tamil Thalaivas"/>
        <s v="U.P. Yoddha"/>
        <s v="Gujarat Fortunegiants"/>
      </sharedItems>
    </cacheField>
    <cacheField name="total_matches" numFmtId="0">
      <sharedItems containsSemiMixedTypes="0" containsString="0" containsNumber="1" containsInteger="1" minValue="14" maxValue="131"/>
    </cacheField>
    <cacheField name="wins" numFmtId="0">
      <sharedItems containsSemiMixedTypes="0" containsString="0" containsNumber="1" containsInteger="1" minValue="1" maxValue="77"/>
    </cacheField>
    <cacheField name="losses" numFmtId="0">
      <sharedItems containsSemiMixedTypes="0" containsString="0" containsNumber="1" containsInteger="1" minValue="2" maxValue="66"/>
    </cacheField>
    <cacheField name="draws" numFmtId="0">
      <sharedItems containsSemiMixedTypes="0" containsString="0" containsNumber="1" containsInteger="1" minValue="0" maxValue="15"/>
    </cacheField>
    <cacheField name="total_raids" numFmtId="0">
      <sharedItems containsSemiMixedTypes="0" containsString="0" containsNumber="1" containsInteger="1" minValue="546" maxValue="5643" count="78">
        <n v="647"/>
        <n v="730"/>
        <n v="603"/>
        <n v="605"/>
        <n v="943"/>
        <n v="1005"/>
        <n v="794"/>
        <n v="5327"/>
        <n v="559"/>
        <n v="585"/>
        <n v="614"/>
        <n v="619"/>
        <n v="973"/>
        <n v="997"/>
        <n v="729"/>
        <n v="5076"/>
        <n v="621"/>
        <n v="599"/>
        <n v="593"/>
        <n v="666"/>
        <n v="962"/>
        <n v="949"/>
        <n v="836"/>
        <n v="5226"/>
        <n v="546"/>
        <n v="595"/>
        <n v="702"/>
        <n v="602"/>
        <n v="1079"/>
        <n v="963"/>
        <n v="782"/>
        <n v="5269"/>
        <n v="624"/>
        <n v="697"/>
        <n v="685"/>
        <n v="594"/>
        <n v="978"/>
        <n v="5270"/>
        <n v="638"/>
        <n v="701"/>
        <n v="703"/>
        <n v="692"/>
        <n v="1173"/>
        <n v="934"/>
        <n v="802"/>
        <n v="5643"/>
        <n v="552"/>
        <n v="600"/>
        <n v="698"/>
        <n v="716"/>
        <n v="1042"/>
        <n v="940"/>
        <n v="789"/>
        <n v="5337"/>
        <n v="569"/>
        <n v="707"/>
        <n v="609"/>
        <n v="687"/>
        <n v="971"/>
        <n v="953"/>
        <n v="744"/>
        <n v="5240"/>
        <n v="1030"/>
        <n v="941"/>
        <n v="705"/>
        <n v="2676"/>
        <n v="1022"/>
        <n v="925"/>
        <n v="750"/>
        <n v="2697"/>
        <n v="1002"/>
        <n v="1068"/>
        <n v="711"/>
        <n v="2781"/>
        <n v="1055"/>
        <n v="1072"/>
        <n v="731"/>
        <n v="2858"/>
      </sharedItems>
    </cacheField>
    <cacheField name="success_raids" numFmtId="0">
      <sharedItems containsSemiMixedTypes="0" containsString="0" containsNumber="1" containsInteger="1" minValue="134" maxValue="2066"/>
    </cacheField>
    <cacheField name="all_outs" numFmtId="0">
      <sharedItems containsSemiMixedTypes="0" containsString="0" containsNumber="1" containsInteger="1" minValue="9" maxValue="193"/>
    </cacheField>
    <cacheField name="unsuccess_raids" numFmtId="0">
      <sharedItems containsSemiMixedTypes="0" containsString="0" containsNumber="1" containsInteger="1" minValue="116" maxValue="1245"/>
    </cacheField>
    <cacheField name="empty_raid" numFmtId="0">
      <sharedItems containsSemiMixedTypes="0" containsString="0" containsNumber="1" containsInteger="1" minValue="174" maxValue="2434"/>
    </cacheField>
    <cacheField name="success_raid_percent" numFmtId="0">
      <sharedItems containsSemiMixedTypes="0" containsString="0" containsNumber="1" containsInteger="1" minValue="31" maxValue="59"/>
    </cacheField>
    <cacheField name="super_raids" numFmtId="0">
      <sharedItems containsSemiMixedTypes="0" containsString="0" containsNumber="1" containsInteger="1" minValue="3" maxValue="90"/>
    </cacheField>
    <cacheField name="total_tackles" numFmtId="0">
      <sharedItems containsSemiMixedTypes="0" containsString="0" containsNumber="1" containsInteger="1" minValue="274" maxValue="3121"/>
    </cacheField>
    <cacheField name="success_tackles" numFmtId="0">
      <sharedItems containsSemiMixedTypes="0" containsString="0" containsNumber="1" containsInteger="1" minValue="93" maxValue="1210"/>
    </cacheField>
    <cacheField name="unsuccesful_tackles" numFmtId="0">
      <sharedItems containsSemiMixedTypes="0" containsString="0" containsNumber="1" containsInteger="1" minValue="166" maxValue="1945"/>
    </cacheField>
    <cacheField name="tackle_success_rate" numFmtId="0">
      <sharedItems containsSemiMixedTypes="0" containsString="0" containsNumber="1" containsInteger="1" minValue="29" maxValue="54"/>
    </cacheField>
    <cacheField name="super_tackles" numFmtId="0">
      <sharedItems containsSemiMixedTypes="0" containsString="0" containsNumber="1" containsInteger="1" minValue="5" maxValue="131"/>
    </cacheField>
    <cacheField name="green_cards" numFmtId="0">
      <sharedItems containsSemiMixedTypes="0" containsString="0" containsNumber="1" containsInteger="1" minValue="1" maxValue="78"/>
    </cacheField>
    <cacheField name="yellow_cards" numFmtId="0">
      <sharedItems containsSemiMixedTypes="0" containsString="0" containsNumber="1" containsInteger="1" minValue="0" maxValue="11"/>
    </cacheField>
    <cacheField name="red_cards" numFmtId="0">
      <sharedItems containsSemiMixedTypes="0" containsString="0" containsNumber="1" containsInteger="1" minValue="0" maxValue="2"/>
    </cacheField>
  </cacheFields>
  <extLst>
    <ext xmlns:x14="http://schemas.microsoft.com/office/spreadsheetml/2009/9/main" uri="{725AE2AE-9491-48be-B2B4-4EB974FC3084}">
      <x14:pivotCacheDefinition pivotCacheId="189185335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yush shinde" refreshedDate="46268.025908912037" createdVersion="8" refreshedVersion="8" minRefreshableVersion="3" recordCount="7" xr:uid="{18D9422A-DD9E-4F81-9F23-CFDCD4D3D0E0}">
  <cacheSource type="worksheet">
    <worksheetSource name="Table6"/>
  </cacheSource>
  <cacheFields count="7">
    <cacheField name="Season" numFmtId="0">
      <sharedItems count="7">
        <s v="Season 1"/>
        <s v="Season 2"/>
        <s v="Season 3"/>
        <s v="Season 4"/>
        <s v="Season 5"/>
        <s v="Season 6"/>
        <s v="Season 7"/>
      </sharedItems>
    </cacheField>
    <cacheField name="Winner" numFmtId="0">
      <sharedItems count="5">
        <s v="Jaipur Pink Panthers"/>
        <s v="U Mumba"/>
        <s v="Patna Pirates"/>
        <s v="Bengaluru Bulls"/>
        <s v="Bengal Warriors"/>
      </sharedItems>
    </cacheField>
    <cacheField name="Runner Up" numFmtId="0">
      <sharedItems/>
    </cacheField>
    <cacheField name="Player of the Match" numFmtId="0">
      <sharedItems/>
    </cacheField>
    <cacheField name="Player of the Series" numFmtId="0">
      <sharedItems/>
    </cacheField>
    <cacheField name="Best Defender" numFmtId="0">
      <sharedItems/>
    </cacheField>
    <cacheField name="Best Raider" numFmtId="0">
      <sharedItems/>
    </cacheField>
  </cacheFields>
  <extLst>
    <ext xmlns:x14="http://schemas.microsoft.com/office/spreadsheetml/2009/9/main" uri="{725AE2AE-9491-48be-B2B4-4EB974FC3084}">
      <x14:pivotCacheDefinition pivotCacheId="20024528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x v="0"/>
    <x v="0"/>
    <n v="16"/>
    <n v="8"/>
    <n v="7"/>
    <n v="1"/>
    <x v="0"/>
    <n v="225"/>
    <n v="20"/>
    <n v="172"/>
    <n v="250"/>
    <n v="45"/>
    <n v="7"/>
    <n v="353"/>
    <n v="153"/>
    <n v="200"/>
    <n v="46"/>
    <n v="10"/>
    <n v="8"/>
    <n v="1"/>
    <n v="0"/>
  </r>
  <r>
    <x v="1"/>
    <x v="0"/>
    <n v="16"/>
    <n v="10"/>
    <n v="6"/>
    <n v="0"/>
    <x v="1"/>
    <n v="194"/>
    <n v="25"/>
    <n v="163"/>
    <n v="373"/>
    <n v="35"/>
    <n v="10"/>
    <n v="341"/>
    <n v="158"/>
    <n v="183"/>
    <n v="48"/>
    <n v="7"/>
    <n v="24"/>
    <n v="0"/>
    <n v="0"/>
  </r>
  <r>
    <x v="2"/>
    <x v="0"/>
    <n v="14"/>
    <n v="2"/>
    <n v="12"/>
    <n v="0"/>
    <x v="2"/>
    <n v="158"/>
    <n v="12"/>
    <n v="148"/>
    <n v="297"/>
    <n v="35"/>
    <n v="9"/>
    <n v="291"/>
    <n v="94"/>
    <n v="197"/>
    <n v="34"/>
    <n v="7"/>
    <n v="5"/>
    <n v="3"/>
    <n v="1"/>
  </r>
  <r>
    <x v="3"/>
    <x v="0"/>
    <n v="14"/>
    <n v="5"/>
    <n v="8"/>
    <n v="1"/>
    <x v="3"/>
    <n v="157"/>
    <n v="9"/>
    <n v="143"/>
    <n v="305"/>
    <n v="33"/>
    <n v="4"/>
    <n v="287"/>
    <n v="109"/>
    <n v="178"/>
    <n v="43"/>
    <n v="15"/>
    <n v="3"/>
    <n v="0"/>
    <n v="0"/>
  </r>
  <r>
    <x v="4"/>
    <x v="0"/>
    <n v="22"/>
    <n v="8"/>
    <n v="11"/>
    <n v="3"/>
    <x v="4"/>
    <n v="336"/>
    <n v="28"/>
    <n v="195"/>
    <n v="412"/>
    <n v="42"/>
    <n v="5"/>
    <n v="480"/>
    <n v="185"/>
    <n v="295"/>
    <n v="42"/>
    <n v="17"/>
    <n v="8"/>
    <n v="0"/>
    <n v="1"/>
  </r>
  <r>
    <x v="5"/>
    <x v="0"/>
    <n v="24"/>
    <n v="15"/>
    <n v="7"/>
    <n v="2"/>
    <x v="5"/>
    <n v="431"/>
    <n v="37"/>
    <n v="211"/>
    <n v="363"/>
    <n v="54"/>
    <n v="20"/>
    <n v="550"/>
    <n v="219"/>
    <n v="331"/>
    <n v="42"/>
    <n v="12"/>
    <n v="14"/>
    <n v="1"/>
    <n v="0"/>
  </r>
  <r>
    <x v="6"/>
    <x v="0"/>
    <n v="19"/>
    <n v="10"/>
    <n v="8"/>
    <n v="1"/>
    <x v="6"/>
    <n v="309"/>
    <n v="21"/>
    <n v="213"/>
    <n v="272"/>
    <n v="49"/>
    <n v="8"/>
    <n v="437"/>
    <n v="167"/>
    <n v="270"/>
    <n v="43"/>
    <n v="25"/>
    <n v="3"/>
    <n v="0"/>
    <n v="0"/>
  </r>
  <r>
    <x v="7"/>
    <x v="0"/>
    <n v="125"/>
    <n v="58"/>
    <n v="59"/>
    <n v="8"/>
    <x v="7"/>
    <n v="1810"/>
    <n v="152"/>
    <n v="1245"/>
    <n v="2272"/>
    <n v="43"/>
    <n v="63"/>
    <n v="2740"/>
    <n v="1086"/>
    <n v="1654"/>
    <n v="43"/>
    <n v="93"/>
    <n v="65"/>
    <n v="5"/>
    <n v="2"/>
  </r>
  <r>
    <x v="0"/>
    <x v="1"/>
    <n v="14"/>
    <n v="5"/>
    <n v="8"/>
    <n v="1"/>
    <x v="8"/>
    <n v="246"/>
    <n v="18"/>
    <n v="139"/>
    <n v="174"/>
    <n v="51"/>
    <n v="5"/>
    <n v="370"/>
    <n v="124"/>
    <n v="246"/>
    <n v="36"/>
    <n v="10"/>
    <n v="10"/>
    <n v="0"/>
    <n v="0"/>
  </r>
  <r>
    <x v="1"/>
    <x v="1"/>
    <n v="14"/>
    <n v="4"/>
    <n v="9"/>
    <n v="1"/>
    <x v="9"/>
    <n v="159"/>
    <n v="13"/>
    <n v="151"/>
    <n v="275"/>
    <n v="37"/>
    <n v="14"/>
    <n v="333"/>
    <n v="122"/>
    <n v="211"/>
    <n v="41"/>
    <n v="14"/>
    <n v="13"/>
    <n v="0"/>
    <n v="0"/>
  </r>
  <r>
    <x v="2"/>
    <x v="1"/>
    <n v="14"/>
    <n v="1"/>
    <n v="12"/>
    <n v="1"/>
    <x v="10"/>
    <n v="171"/>
    <n v="9"/>
    <n v="162"/>
    <n v="281"/>
    <n v="38"/>
    <n v="5"/>
    <n v="346"/>
    <n v="98"/>
    <n v="248"/>
    <n v="32"/>
    <n v="13"/>
    <n v="4"/>
    <n v="1"/>
    <n v="0"/>
  </r>
  <r>
    <x v="3"/>
    <x v="1"/>
    <n v="14"/>
    <n v="4"/>
    <n v="9"/>
    <n v="1"/>
    <x v="11"/>
    <n v="162"/>
    <n v="15"/>
    <n v="120"/>
    <n v="337"/>
    <n v="37"/>
    <n v="11"/>
    <n v="306"/>
    <n v="116"/>
    <n v="190"/>
    <n v="44"/>
    <n v="20"/>
    <n v="2"/>
    <n v="0"/>
    <n v="0"/>
  </r>
  <r>
    <x v="4"/>
    <x v="1"/>
    <n v="22"/>
    <n v="5"/>
    <n v="16"/>
    <n v="1"/>
    <x v="12"/>
    <n v="283"/>
    <n v="18"/>
    <n v="214"/>
    <n v="476"/>
    <n v="35"/>
    <n v="6"/>
    <n v="497"/>
    <n v="159"/>
    <n v="338"/>
    <n v="34"/>
    <n v="12"/>
    <n v="12"/>
    <n v="0"/>
    <n v="0"/>
  </r>
  <r>
    <x v="5"/>
    <x v="1"/>
    <n v="24"/>
    <n v="12"/>
    <n v="10"/>
    <n v="2"/>
    <x v="13"/>
    <n v="401"/>
    <n v="34"/>
    <n v="224"/>
    <n v="372"/>
    <n v="48"/>
    <n v="13"/>
    <n v="559"/>
    <n v="198"/>
    <n v="361"/>
    <n v="39"/>
    <n v="19"/>
    <n v="14"/>
    <n v="0"/>
    <n v="0"/>
  </r>
  <r>
    <x v="6"/>
    <x v="1"/>
    <n v="18"/>
    <n v="14"/>
    <n v="2"/>
    <n v="2"/>
    <x v="14"/>
    <n v="312"/>
    <n v="29"/>
    <n v="143"/>
    <n v="274"/>
    <n v="52"/>
    <n v="8"/>
    <n v="422"/>
    <n v="162"/>
    <n v="260"/>
    <n v="40"/>
    <n v="8"/>
    <n v="2"/>
    <n v="0"/>
    <n v="0"/>
  </r>
  <r>
    <x v="7"/>
    <x v="1"/>
    <n v="120"/>
    <n v="45"/>
    <n v="66"/>
    <n v="9"/>
    <x v="15"/>
    <n v="1734"/>
    <n v="136"/>
    <n v="1153"/>
    <n v="2189"/>
    <n v="43"/>
    <n v="62"/>
    <n v="2833"/>
    <n v="979"/>
    <n v="1854"/>
    <n v="38"/>
    <n v="96"/>
    <n v="57"/>
    <n v="1"/>
    <n v="0"/>
  </r>
  <r>
    <x v="0"/>
    <x v="2"/>
    <n v="16"/>
    <n v="12"/>
    <n v="3"/>
    <n v="1"/>
    <x v="16"/>
    <n v="270"/>
    <n v="29"/>
    <n v="125"/>
    <n v="226"/>
    <n v="55"/>
    <n v="9"/>
    <n v="400"/>
    <n v="158"/>
    <n v="242"/>
    <n v="42"/>
    <n v="12"/>
    <n v="5"/>
    <n v="0"/>
    <n v="0"/>
  </r>
  <r>
    <x v="1"/>
    <x v="2"/>
    <n v="14"/>
    <n v="6"/>
    <n v="7"/>
    <n v="1"/>
    <x v="17"/>
    <n v="183"/>
    <n v="17"/>
    <n v="152"/>
    <n v="264"/>
    <n v="39"/>
    <n v="5"/>
    <n v="298"/>
    <n v="124"/>
    <n v="174"/>
    <n v="48"/>
    <n v="18"/>
    <n v="12"/>
    <n v="0"/>
    <n v="0"/>
  </r>
  <r>
    <x v="2"/>
    <x v="2"/>
    <n v="14"/>
    <n v="4"/>
    <n v="8"/>
    <n v="2"/>
    <x v="18"/>
    <n v="149"/>
    <n v="11"/>
    <n v="152"/>
    <n v="292"/>
    <n v="33"/>
    <n v="8"/>
    <n v="274"/>
    <n v="101"/>
    <n v="173"/>
    <n v="43"/>
    <n v="16"/>
    <n v="2"/>
    <n v="1"/>
    <n v="0"/>
  </r>
  <r>
    <x v="3"/>
    <x v="2"/>
    <n v="16"/>
    <n v="9"/>
    <n v="6"/>
    <n v="1"/>
    <x v="19"/>
    <n v="203"/>
    <n v="17"/>
    <n v="139"/>
    <n v="324"/>
    <n v="41"/>
    <n v="6"/>
    <n v="319"/>
    <n v="119"/>
    <n v="200"/>
    <n v="42"/>
    <n v="17"/>
    <n v="8"/>
    <n v="2"/>
    <n v="0"/>
  </r>
  <r>
    <x v="4"/>
    <x v="2"/>
    <n v="22"/>
    <n v="8"/>
    <n v="13"/>
    <n v="1"/>
    <x v="20"/>
    <n v="288"/>
    <n v="22"/>
    <n v="236"/>
    <n v="438"/>
    <n v="37"/>
    <n v="13"/>
    <n v="459"/>
    <n v="162"/>
    <n v="297"/>
    <n v="37"/>
    <n v="10"/>
    <n v="21"/>
    <n v="1"/>
    <n v="0"/>
  </r>
  <r>
    <x v="5"/>
    <x v="2"/>
    <n v="22"/>
    <n v="6"/>
    <n v="13"/>
    <n v="3"/>
    <x v="21"/>
    <n v="334"/>
    <n v="22"/>
    <n v="220"/>
    <n v="395"/>
    <n v="44"/>
    <n v="13"/>
    <n v="551"/>
    <n v="202"/>
    <n v="349"/>
    <n v="41"/>
    <n v="25"/>
    <n v="13"/>
    <n v="0"/>
    <n v="0"/>
  </r>
  <r>
    <x v="6"/>
    <x v="2"/>
    <n v="20"/>
    <n v="8"/>
    <n v="10"/>
    <n v="2"/>
    <x v="22"/>
    <n v="261"/>
    <n v="19"/>
    <n v="205"/>
    <n v="370"/>
    <n v="40"/>
    <n v="7"/>
    <n v="483"/>
    <n v="189"/>
    <n v="294"/>
    <n v="45"/>
    <n v="32"/>
    <n v="6"/>
    <n v="0"/>
    <n v="0"/>
  </r>
  <r>
    <x v="7"/>
    <x v="2"/>
    <n v="124"/>
    <n v="53"/>
    <n v="60"/>
    <n v="11"/>
    <x v="23"/>
    <n v="1688"/>
    <n v="137"/>
    <n v="1229"/>
    <n v="2309"/>
    <n v="41"/>
    <n v="61"/>
    <n v="2784"/>
    <n v="1055"/>
    <n v="1729"/>
    <n v="42"/>
    <n v="130"/>
    <n v="67"/>
    <n v="4"/>
    <n v="0"/>
  </r>
  <r>
    <x v="0"/>
    <x v="3"/>
    <n v="14"/>
    <n v="4"/>
    <n v="9"/>
    <n v="1"/>
    <x v="24"/>
    <n v="213"/>
    <n v="11"/>
    <n v="146"/>
    <n v="187"/>
    <n v="52"/>
    <n v="11"/>
    <n v="381"/>
    <n v="106"/>
    <n v="275"/>
    <n v="32"/>
    <n v="16"/>
    <n v="5"/>
    <n v="0"/>
    <n v="0"/>
  </r>
  <r>
    <x v="1"/>
    <x v="3"/>
    <n v="14"/>
    <n v="4"/>
    <n v="9"/>
    <n v="1"/>
    <x v="25"/>
    <n v="134"/>
    <n v="10"/>
    <n v="151"/>
    <n v="310"/>
    <n v="31"/>
    <n v="9"/>
    <n v="306"/>
    <n v="116"/>
    <n v="190"/>
    <n v="44"/>
    <n v="21"/>
    <n v="9"/>
    <n v="0"/>
    <n v="0"/>
  </r>
  <r>
    <x v="2"/>
    <x v="3"/>
    <n v="16"/>
    <n v="9"/>
    <n v="7"/>
    <n v="0"/>
    <x v="26"/>
    <n v="213"/>
    <n v="17"/>
    <n v="144"/>
    <n v="345"/>
    <n v="36"/>
    <n v="4"/>
    <n v="329"/>
    <n v="137"/>
    <n v="192"/>
    <n v="46"/>
    <n v="13"/>
    <n v="7"/>
    <n v="0"/>
    <n v="0"/>
  </r>
  <r>
    <x v="3"/>
    <x v="3"/>
    <n v="14"/>
    <n v="3"/>
    <n v="9"/>
    <n v="2"/>
    <x v="27"/>
    <n v="167"/>
    <n v="11"/>
    <n v="125"/>
    <n v="310"/>
    <n v="34"/>
    <n v="4"/>
    <n v="318"/>
    <n v="117"/>
    <n v="201"/>
    <n v="39"/>
    <n v="8"/>
    <n v="2"/>
    <n v="0"/>
    <n v="0"/>
  </r>
  <r>
    <x v="4"/>
    <x v="3"/>
    <n v="24"/>
    <n v="11"/>
    <n v="7"/>
    <n v="6"/>
    <x v="28"/>
    <n v="379"/>
    <n v="27"/>
    <n v="223"/>
    <n v="477"/>
    <n v="42"/>
    <n v="11"/>
    <n v="521"/>
    <n v="181"/>
    <n v="340"/>
    <n v="37"/>
    <n v="12"/>
    <n v="13"/>
    <n v="1"/>
    <n v="0"/>
  </r>
  <r>
    <x v="5"/>
    <x v="3"/>
    <n v="23"/>
    <n v="12"/>
    <n v="9"/>
    <n v="2"/>
    <x v="29"/>
    <n v="340"/>
    <n v="23"/>
    <n v="201"/>
    <n v="422"/>
    <n v="45"/>
    <n v="16"/>
    <n v="508"/>
    <n v="186"/>
    <n v="322"/>
    <n v="39"/>
    <n v="16"/>
    <n v="12"/>
    <n v="0"/>
    <n v="0"/>
  </r>
  <r>
    <x v="6"/>
    <x v="3"/>
    <n v="19"/>
    <n v="12"/>
    <n v="4"/>
    <n v="3"/>
    <x v="30"/>
    <n v="318"/>
    <n v="31"/>
    <n v="153"/>
    <n v="311"/>
    <n v="51"/>
    <n v="15"/>
    <n v="449"/>
    <n v="174"/>
    <n v="275"/>
    <n v="41"/>
    <n v="12"/>
    <n v="2"/>
    <n v="0"/>
    <n v="0"/>
  </r>
  <r>
    <x v="7"/>
    <x v="3"/>
    <n v="124"/>
    <n v="55"/>
    <n v="54"/>
    <n v="15"/>
    <x v="31"/>
    <n v="1764"/>
    <n v="130"/>
    <n v="1143"/>
    <n v="2362"/>
    <n v="42"/>
    <n v="70"/>
    <n v="2812"/>
    <n v="1017"/>
    <n v="1795"/>
    <n v="39"/>
    <n v="98"/>
    <n v="50"/>
    <n v="1"/>
    <n v="0"/>
  </r>
  <r>
    <x v="0"/>
    <x v="4"/>
    <n v="16"/>
    <n v="9"/>
    <n v="4"/>
    <n v="3"/>
    <x v="32"/>
    <n v="270"/>
    <n v="21"/>
    <n v="134"/>
    <n v="220"/>
    <n v="56"/>
    <n v="12"/>
    <n v="409"/>
    <n v="145"/>
    <n v="264"/>
    <n v="38"/>
    <n v="12"/>
    <n v="3"/>
    <n v="0"/>
    <n v="0"/>
  </r>
  <r>
    <x v="1"/>
    <x v="4"/>
    <n v="16"/>
    <n v="14"/>
    <n v="2"/>
    <n v="0"/>
    <x v="33"/>
    <n v="187"/>
    <n v="20"/>
    <n v="154"/>
    <n v="356"/>
    <n v="34"/>
    <n v="7"/>
    <n v="364"/>
    <n v="180"/>
    <n v="184"/>
    <n v="54"/>
    <n v="16"/>
    <n v="23"/>
    <n v="0"/>
    <n v="0"/>
  </r>
  <r>
    <x v="2"/>
    <x v="4"/>
    <n v="16"/>
    <n v="13"/>
    <n v="3"/>
    <n v="0"/>
    <x v="34"/>
    <n v="206"/>
    <n v="27"/>
    <n v="139"/>
    <n v="340"/>
    <n v="37"/>
    <n v="7"/>
    <n v="329"/>
    <n v="163"/>
    <n v="166"/>
    <n v="51"/>
    <n v="6"/>
    <n v="6"/>
    <n v="4"/>
    <n v="0"/>
  </r>
  <r>
    <x v="3"/>
    <x v="4"/>
    <n v="14"/>
    <n v="7"/>
    <n v="6"/>
    <n v="1"/>
    <x v="35"/>
    <n v="188"/>
    <n v="15"/>
    <n v="131"/>
    <n v="275"/>
    <n v="38"/>
    <n v="4"/>
    <n v="293"/>
    <n v="110"/>
    <n v="183"/>
    <n v="41"/>
    <n v="11"/>
    <n v="5"/>
    <n v="1"/>
    <n v="0"/>
  </r>
  <r>
    <x v="4"/>
    <x v="4"/>
    <n v="22"/>
    <n v="10"/>
    <n v="12"/>
    <n v="0"/>
    <x v="29"/>
    <n v="322"/>
    <n v="21"/>
    <n v="219"/>
    <n v="422"/>
    <n v="44"/>
    <n v="10"/>
    <n v="539"/>
    <n v="176"/>
    <n v="363"/>
    <n v="37"/>
    <n v="26"/>
    <n v="13"/>
    <n v="1"/>
    <n v="0"/>
  </r>
  <r>
    <x v="5"/>
    <x v="4"/>
    <n v="23"/>
    <n v="15"/>
    <n v="6"/>
    <n v="2"/>
    <x v="36"/>
    <n v="372"/>
    <n v="41"/>
    <n v="196"/>
    <n v="410"/>
    <n v="47"/>
    <n v="15"/>
    <n v="558"/>
    <n v="274"/>
    <n v="284"/>
    <n v="52"/>
    <n v="15"/>
    <n v="20"/>
    <n v="0"/>
    <n v="0"/>
  </r>
  <r>
    <x v="6"/>
    <x v="4"/>
    <n v="18"/>
    <n v="9"/>
    <n v="8"/>
    <n v="1"/>
    <x v="14"/>
    <n v="238"/>
    <n v="25"/>
    <n v="166"/>
    <n v="325"/>
    <n v="42"/>
    <n v="7"/>
    <n v="377"/>
    <n v="161"/>
    <n v="216"/>
    <n v="46"/>
    <n v="16"/>
    <n v="8"/>
    <n v="0"/>
    <n v="0"/>
  </r>
  <r>
    <x v="7"/>
    <x v="4"/>
    <n v="125"/>
    <n v="77"/>
    <n v="41"/>
    <n v="7"/>
    <x v="37"/>
    <n v="1783"/>
    <n v="170"/>
    <n v="1139"/>
    <n v="2348"/>
    <n v="43"/>
    <n v="62"/>
    <n v="2870"/>
    <n v="1210"/>
    <n v="1660"/>
    <n v="46"/>
    <n v="102"/>
    <n v="78"/>
    <n v="6"/>
    <n v="0"/>
  </r>
  <r>
    <x v="0"/>
    <x v="5"/>
    <n v="16"/>
    <n v="8"/>
    <n v="6"/>
    <n v="2"/>
    <x v="38"/>
    <n v="253"/>
    <n v="18"/>
    <n v="134"/>
    <n v="251"/>
    <n v="50"/>
    <n v="13"/>
    <n v="380"/>
    <n v="124"/>
    <n v="256"/>
    <n v="37"/>
    <n v="18"/>
    <n v="8"/>
    <n v="0"/>
    <n v="0"/>
  </r>
  <r>
    <x v="1"/>
    <x v="5"/>
    <n v="16"/>
    <n v="7"/>
    <n v="8"/>
    <n v="1"/>
    <x v="39"/>
    <n v="182"/>
    <n v="13"/>
    <n v="159"/>
    <n v="360"/>
    <n v="33"/>
    <n v="4"/>
    <n v="376"/>
    <n v="152"/>
    <n v="224"/>
    <n v="44"/>
    <n v="13"/>
    <n v="10"/>
    <n v="1"/>
    <n v="0"/>
  </r>
  <r>
    <x v="2"/>
    <x v="5"/>
    <n v="16"/>
    <n v="12"/>
    <n v="2"/>
    <n v="2"/>
    <x v="40"/>
    <n v="241"/>
    <n v="30"/>
    <n v="129"/>
    <n v="333"/>
    <n v="46"/>
    <n v="16"/>
    <n v="405"/>
    <n v="175"/>
    <n v="230"/>
    <n v="45"/>
    <n v="7"/>
    <n v="4"/>
    <n v="2"/>
    <n v="0"/>
  </r>
  <r>
    <x v="3"/>
    <x v="5"/>
    <n v="16"/>
    <n v="12"/>
    <n v="4"/>
    <n v="0"/>
    <x v="41"/>
    <n v="206"/>
    <n v="19"/>
    <n v="152"/>
    <n v="334"/>
    <n v="38"/>
    <n v="7"/>
    <n v="332"/>
    <n v="145"/>
    <n v="187"/>
    <n v="52"/>
    <n v="27"/>
    <n v="7"/>
    <n v="1"/>
    <n v="0"/>
  </r>
  <r>
    <x v="4"/>
    <x v="5"/>
    <n v="26"/>
    <n v="14"/>
    <n v="7"/>
    <n v="5"/>
    <x v="42"/>
    <n v="487"/>
    <n v="55"/>
    <n v="238"/>
    <n v="448"/>
    <n v="54"/>
    <n v="26"/>
    <n v="625"/>
    <n v="226"/>
    <n v="399"/>
    <n v="40"/>
    <n v="27"/>
    <n v="10"/>
    <n v="2"/>
    <n v="0"/>
  </r>
  <r>
    <x v="5"/>
    <x v="5"/>
    <n v="22"/>
    <n v="9"/>
    <n v="11"/>
    <n v="2"/>
    <x v="43"/>
    <n v="406"/>
    <n v="30"/>
    <n v="226"/>
    <n v="302"/>
    <n v="53"/>
    <n v="11"/>
    <n v="555"/>
    <n v="186"/>
    <n v="369"/>
    <n v="36"/>
    <n v="16"/>
    <n v="11"/>
    <n v="0"/>
    <n v="0"/>
  </r>
  <r>
    <x v="6"/>
    <x v="5"/>
    <n v="19"/>
    <n v="6"/>
    <n v="12"/>
    <n v="1"/>
    <x v="44"/>
    <n v="291"/>
    <n v="28"/>
    <n v="184"/>
    <n v="327"/>
    <n v="46"/>
    <n v="13"/>
    <n v="448"/>
    <n v="168"/>
    <n v="280"/>
    <n v="43"/>
    <n v="23"/>
    <n v="11"/>
    <n v="0"/>
    <n v="0"/>
  </r>
  <r>
    <x v="7"/>
    <x v="5"/>
    <n v="131"/>
    <n v="68"/>
    <n v="50"/>
    <n v="13"/>
    <x v="45"/>
    <n v="2066"/>
    <n v="193"/>
    <n v="1222"/>
    <n v="2355"/>
    <n v="47"/>
    <n v="90"/>
    <n v="3121"/>
    <n v="1176"/>
    <n v="1945"/>
    <n v="42"/>
    <n v="131"/>
    <n v="61"/>
    <n v="6"/>
    <n v="0"/>
  </r>
  <r>
    <x v="0"/>
    <x v="6"/>
    <n v="14"/>
    <n v="2"/>
    <n v="12"/>
    <n v="0"/>
    <x v="46"/>
    <n v="204"/>
    <n v="12"/>
    <n v="148"/>
    <n v="200"/>
    <n v="49"/>
    <n v="11"/>
    <n v="368"/>
    <n v="93"/>
    <n v="275"/>
    <n v="29"/>
    <n v="14"/>
    <n v="3"/>
    <n v="1"/>
    <n v="1"/>
  </r>
  <r>
    <x v="1"/>
    <x v="6"/>
    <n v="14"/>
    <n v="2"/>
    <n v="11"/>
    <n v="1"/>
    <x v="47"/>
    <n v="170"/>
    <n v="12"/>
    <n v="151"/>
    <n v="279"/>
    <n v="37"/>
    <n v="8"/>
    <n v="307"/>
    <n v="104"/>
    <n v="203"/>
    <n v="37"/>
    <n v="11"/>
    <n v="10"/>
    <n v="1"/>
    <n v="0"/>
  </r>
  <r>
    <x v="2"/>
    <x v="6"/>
    <n v="16"/>
    <n v="8"/>
    <n v="5"/>
    <n v="3"/>
    <x v="48"/>
    <n v="203"/>
    <n v="25"/>
    <n v="133"/>
    <n v="362"/>
    <n v="36"/>
    <n v="9"/>
    <n v="371"/>
    <n v="174"/>
    <n v="197"/>
    <n v="50"/>
    <n v="13"/>
    <n v="5"/>
    <n v="3"/>
    <n v="0"/>
  </r>
  <r>
    <x v="3"/>
    <x v="6"/>
    <n v="16"/>
    <n v="7"/>
    <n v="7"/>
    <n v="2"/>
    <x v="49"/>
    <n v="230"/>
    <n v="21"/>
    <n v="151"/>
    <n v="335"/>
    <n v="40"/>
    <n v="10"/>
    <n v="345"/>
    <n v="140"/>
    <n v="205"/>
    <n v="42"/>
    <n v="7"/>
    <n v="7"/>
    <n v="3"/>
    <n v="0"/>
  </r>
  <r>
    <x v="4"/>
    <x v="6"/>
    <n v="24"/>
    <n v="16"/>
    <n v="8"/>
    <n v="0"/>
    <x v="50"/>
    <n v="304"/>
    <n v="32"/>
    <n v="223"/>
    <n v="515"/>
    <n v="36"/>
    <n v="12"/>
    <n v="547"/>
    <n v="252"/>
    <n v="295"/>
    <n v="50"/>
    <n v="21"/>
    <n v="14"/>
    <n v="2"/>
    <n v="0"/>
  </r>
  <r>
    <x v="5"/>
    <x v="6"/>
    <n v="22"/>
    <n v="8"/>
    <n v="12"/>
    <n v="2"/>
    <x v="51"/>
    <n v="286"/>
    <n v="14"/>
    <n v="228"/>
    <n v="426"/>
    <n v="37"/>
    <n v="7"/>
    <n v="502"/>
    <n v="189"/>
    <n v="313"/>
    <n v="44"/>
    <n v="34"/>
    <n v="14"/>
    <n v="1"/>
    <n v="0"/>
  </r>
  <r>
    <x v="6"/>
    <x v="6"/>
    <n v="19"/>
    <n v="6"/>
    <n v="10"/>
    <n v="3"/>
    <x v="52"/>
    <n v="272"/>
    <n v="18"/>
    <n v="200"/>
    <n v="317"/>
    <n v="42"/>
    <n v="6"/>
    <n v="512"/>
    <n v="197"/>
    <n v="315"/>
    <n v="43"/>
    <n v="22"/>
    <n v="3"/>
    <n v="0"/>
    <n v="0"/>
  </r>
  <r>
    <x v="7"/>
    <x v="6"/>
    <n v="125"/>
    <n v="49"/>
    <n v="65"/>
    <n v="11"/>
    <x v="53"/>
    <n v="1669"/>
    <n v="134"/>
    <n v="1234"/>
    <n v="2434"/>
    <n v="39"/>
    <n v="63"/>
    <n v="2952"/>
    <n v="1149"/>
    <n v="1803"/>
    <n v="43"/>
    <n v="122"/>
    <n v="56"/>
    <n v="11"/>
    <n v="1"/>
  </r>
  <r>
    <x v="0"/>
    <x v="7"/>
    <n v="14"/>
    <n v="6"/>
    <n v="5"/>
    <n v="3"/>
    <x v="54"/>
    <n v="272"/>
    <n v="25"/>
    <n v="116"/>
    <n v="181"/>
    <n v="59"/>
    <n v="8"/>
    <n v="333"/>
    <n v="96"/>
    <n v="237"/>
    <n v="31"/>
    <n v="8"/>
    <n v="7"/>
    <n v="0"/>
    <n v="0"/>
  </r>
  <r>
    <x v="1"/>
    <x v="7"/>
    <n v="16"/>
    <n v="9"/>
    <n v="4"/>
    <n v="3"/>
    <x v="55"/>
    <n v="265"/>
    <n v="26"/>
    <n v="143"/>
    <n v="299"/>
    <n v="49"/>
    <n v="16"/>
    <n v="399"/>
    <n v="158"/>
    <n v="241"/>
    <n v="43"/>
    <n v="16"/>
    <n v="8"/>
    <n v="0"/>
    <n v="0"/>
  </r>
  <r>
    <x v="2"/>
    <x v="7"/>
    <n v="14"/>
    <n v="7"/>
    <n v="7"/>
    <n v="0"/>
    <x v="56"/>
    <n v="206"/>
    <n v="13"/>
    <n v="133"/>
    <n v="270"/>
    <n v="42"/>
    <n v="3"/>
    <n v="304"/>
    <n v="101"/>
    <n v="203"/>
    <n v="38"/>
    <n v="15"/>
    <n v="2"/>
    <n v="1"/>
    <n v="0"/>
  </r>
  <r>
    <x v="3"/>
    <x v="7"/>
    <n v="16"/>
    <n v="8"/>
    <n v="6"/>
    <n v="2"/>
    <x v="57"/>
    <n v="206"/>
    <n v="22"/>
    <n v="133"/>
    <n v="348"/>
    <n v="39"/>
    <n v="7"/>
    <n v="364"/>
    <n v="157"/>
    <n v="207"/>
    <n v="44"/>
    <n v="5"/>
    <n v="4"/>
    <n v="2"/>
    <n v="0"/>
  </r>
  <r>
    <x v="4"/>
    <x v="7"/>
    <n v="22"/>
    <n v="7"/>
    <n v="12"/>
    <n v="3"/>
    <x v="58"/>
    <n v="332"/>
    <n v="25"/>
    <n v="197"/>
    <n v="442"/>
    <n v="41"/>
    <n v="10"/>
    <n v="508"/>
    <n v="191"/>
    <n v="317"/>
    <n v="41"/>
    <n v="17"/>
    <n v="14"/>
    <n v="0"/>
    <n v="0"/>
  </r>
  <r>
    <x v="5"/>
    <x v="7"/>
    <n v="22"/>
    <n v="8"/>
    <n v="13"/>
    <n v="1"/>
    <x v="59"/>
    <n v="289"/>
    <n v="18"/>
    <n v="229"/>
    <n v="435"/>
    <n v="37"/>
    <n v="9"/>
    <n v="486"/>
    <n v="202"/>
    <n v="284"/>
    <n v="48"/>
    <n v="33"/>
    <n v="20"/>
    <n v="0"/>
    <n v="0"/>
  </r>
  <r>
    <x v="6"/>
    <x v="7"/>
    <n v="18"/>
    <n v="5"/>
    <n v="10"/>
    <n v="3"/>
    <x v="60"/>
    <n v="273"/>
    <n v="13"/>
    <n v="181"/>
    <n v="290"/>
    <n v="45"/>
    <n v="9"/>
    <n v="413"/>
    <n v="162"/>
    <n v="251"/>
    <n v="44"/>
    <n v="21"/>
    <n v="5"/>
    <n v="0"/>
    <n v="0"/>
  </r>
  <r>
    <x v="7"/>
    <x v="7"/>
    <n v="122"/>
    <n v="50"/>
    <n v="57"/>
    <n v="15"/>
    <x v="61"/>
    <n v="1843"/>
    <n v="142"/>
    <n v="1132"/>
    <n v="2265"/>
    <n v="44"/>
    <n v="62"/>
    <n v="2807"/>
    <n v="1067"/>
    <n v="1740"/>
    <n v="42"/>
    <n v="115"/>
    <n v="60"/>
    <n v="3"/>
    <n v="0"/>
  </r>
  <r>
    <x v="4"/>
    <x v="8"/>
    <n v="23"/>
    <n v="13"/>
    <n v="6"/>
    <n v="4"/>
    <x v="62"/>
    <n v="327"/>
    <n v="27"/>
    <n v="206"/>
    <n v="497"/>
    <n v="39"/>
    <n v="12"/>
    <n v="544"/>
    <n v="206"/>
    <n v="338"/>
    <n v="42"/>
    <n v="21"/>
    <n v="14"/>
    <n v="0"/>
    <n v="0"/>
  </r>
  <r>
    <x v="5"/>
    <x v="8"/>
    <n v="22"/>
    <n v="6"/>
    <n v="14"/>
    <n v="2"/>
    <x v="63"/>
    <n v="361"/>
    <n v="16"/>
    <n v="230"/>
    <n v="350"/>
    <n v="48"/>
    <n v="12"/>
    <n v="562"/>
    <n v="180"/>
    <n v="382"/>
    <n v="34"/>
    <n v="15"/>
    <n v="24"/>
    <n v="0"/>
    <n v="0"/>
  </r>
  <r>
    <x v="6"/>
    <x v="8"/>
    <n v="17"/>
    <n v="11"/>
    <n v="5"/>
    <n v="1"/>
    <x v="64"/>
    <n v="259"/>
    <n v="25"/>
    <n v="151"/>
    <n v="295"/>
    <n v="48"/>
    <n v="12"/>
    <n v="430"/>
    <n v="165"/>
    <n v="265"/>
    <n v="41"/>
    <n v="11"/>
    <n v="2"/>
    <n v="0"/>
    <n v="0"/>
  </r>
  <r>
    <x v="7"/>
    <x v="8"/>
    <n v="62"/>
    <n v="30"/>
    <n v="25"/>
    <n v="7"/>
    <x v="65"/>
    <n v="947"/>
    <n v="68"/>
    <n v="587"/>
    <n v="1142"/>
    <n v="44"/>
    <n v="36"/>
    <n v="1536"/>
    <n v="551"/>
    <n v="985"/>
    <n v="39"/>
    <n v="47"/>
    <n v="40"/>
    <n v="0"/>
    <n v="0"/>
  </r>
  <r>
    <x v="4"/>
    <x v="9"/>
    <n v="22"/>
    <n v="6"/>
    <n v="14"/>
    <n v="2"/>
    <x v="66"/>
    <n v="351"/>
    <n v="19"/>
    <n v="207"/>
    <n v="464"/>
    <n v="40"/>
    <n v="5"/>
    <n v="517"/>
    <n v="184"/>
    <n v="333"/>
    <n v="39"/>
    <n v="17"/>
    <n v="11"/>
    <n v="0"/>
    <n v="0"/>
  </r>
  <r>
    <x v="5"/>
    <x v="9"/>
    <n v="22"/>
    <n v="5"/>
    <n v="13"/>
    <n v="4"/>
    <x v="67"/>
    <n v="344"/>
    <n v="20"/>
    <n v="222"/>
    <n v="359"/>
    <n v="45"/>
    <n v="7"/>
    <n v="498"/>
    <n v="174"/>
    <n v="324"/>
    <n v="38"/>
    <n v="15"/>
    <n v="20"/>
    <n v="2"/>
    <n v="0"/>
  </r>
  <r>
    <x v="6"/>
    <x v="9"/>
    <n v="18"/>
    <n v="3"/>
    <n v="12"/>
    <n v="3"/>
    <x v="68"/>
    <n v="248"/>
    <n v="13"/>
    <n v="194"/>
    <n v="308"/>
    <n v="42"/>
    <n v="4"/>
    <n v="400"/>
    <n v="144"/>
    <n v="256"/>
    <n v="39"/>
    <n v="13"/>
    <n v="8"/>
    <n v="0"/>
    <n v="0"/>
  </r>
  <r>
    <x v="7"/>
    <x v="9"/>
    <n v="62"/>
    <n v="14"/>
    <n v="39"/>
    <n v="9"/>
    <x v="69"/>
    <n v="943"/>
    <n v="52"/>
    <n v="623"/>
    <n v="1131"/>
    <n v="42"/>
    <n v="16"/>
    <n v="1415"/>
    <n v="502"/>
    <n v="913"/>
    <n v="39"/>
    <n v="45"/>
    <n v="39"/>
    <n v="2"/>
    <n v="0"/>
  </r>
  <r>
    <x v="4"/>
    <x v="10"/>
    <n v="23"/>
    <n v="8"/>
    <n v="11"/>
    <n v="4"/>
    <x v="70"/>
    <n v="358"/>
    <n v="23"/>
    <n v="221"/>
    <n v="423"/>
    <n v="46"/>
    <n v="23"/>
    <n v="551"/>
    <n v="183"/>
    <n v="368"/>
    <n v="36"/>
    <n v="19"/>
    <n v="16"/>
    <n v="1"/>
    <n v="0"/>
  </r>
  <r>
    <x v="5"/>
    <x v="10"/>
    <n v="25"/>
    <n v="10"/>
    <n v="11"/>
    <n v="4"/>
    <x v="71"/>
    <n v="357"/>
    <n v="26"/>
    <n v="255"/>
    <n v="456"/>
    <n v="42"/>
    <n v="10"/>
    <n v="594"/>
    <n v="240"/>
    <n v="354"/>
    <n v="45"/>
    <n v="27"/>
    <n v="12"/>
    <n v="1"/>
    <n v="0"/>
  </r>
  <r>
    <x v="6"/>
    <x v="10"/>
    <n v="17"/>
    <n v="9"/>
    <n v="6"/>
    <n v="2"/>
    <x v="72"/>
    <n v="208"/>
    <n v="20"/>
    <n v="172"/>
    <n v="331"/>
    <n v="38"/>
    <n v="4"/>
    <n v="389"/>
    <n v="167"/>
    <n v="222"/>
    <n v="46"/>
    <n v="14"/>
    <n v="3"/>
    <n v="0"/>
    <n v="0"/>
  </r>
  <r>
    <x v="7"/>
    <x v="10"/>
    <n v="65"/>
    <n v="27"/>
    <n v="28"/>
    <n v="10"/>
    <x v="73"/>
    <n v="923"/>
    <n v="69"/>
    <n v="648"/>
    <n v="1210"/>
    <n v="42"/>
    <n v="37"/>
    <n v="1534"/>
    <n v="590"/>
    <n v="944"/>
    <n v="42"/>
    <n v="60"/>
    <n v="31"/>
    <n v="2"/>
    <n v="0"/>
  </r>
  <r>
    <x v="4"/>
    <x v="11"/>
    <n v="24"/>
    <n v="16"/>
    <n v="5"/>
    <n v="3"/>
    <x v="74"/>
    <n v="335"/>
    <n v="36"/>
    <n v="211"/>
    <n v="509"/>
    <n v="38"/>
    <n v="11"/>
    <n v="497"/>
    <n v="242"/>
    <n v="255"/>
    <n v="51"/>
    <n v="12"/>
    <n v="18"/>
    <n v="2"/>
    <n v="0"/>
  </r>
  <r>
    <x v="5"/>
    <x v="11"/>
    <n v="25"/>
    <n v="18"/>
    <n v="5"/>
    <n v="2"/>
    <x v="75"/>
    <n v="392"/>
    <n v="36"/>
    <n v="246"/>
    <n v="434"/>
    <n v="45"/>
    <n v="10"/>
    <n v="586"/>
    <n v="258"/>
    <n v="328"/>
    <n v="47"/>
    <n v="18"/>
    <n v="16"/>
    <n v="0"/>
    <n v="0"/>
  </r>
  <r>
    <x v="6"/>
    <x v="11"/>
    <n v="18"/>
    <n v="5"/>
    <n v="11"/>
    <n v="2"/>
    <x v="76"/>
    <n v="226"/>
    <n v="17"/>
    <n v="200"/>
    <n v="305"/>
    <n v="38"/>
    <n v="4"/>
    <n v="362"/>
    <n v="160"/>
    <n v="202"/>
    <n v="48"/>
    <n v="15"/>
    <n v="1"/>
    <n v="0"/>
    <n v="0"/>
  </r>
  <r>
    <x v="7"/>
    <x v="11"/>
    <n v="67"/>
    <n v="39"/>
    <n v="21"/>
    <n v="7"/>
    <x v="77"/>
    <n v="953"/>
    <n v="89"/>
    <n v="657"/>
    <n v="1248"/>
    <n v="41"/>
    <n v="25"/>
    <n v="1445"/>
    <n v="660"/>
    <n v="785"/>
    <n v="49"/>
    <n v="45"/>
    <n v="35"/>
    <n v="2"/>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s v="U Mumba"/>
    <s v="Maninder Singh"/>
    <s v="Anup Kumar"/>
    <s v="Manjeet Chillar"/>
    <s v="Anup Kumar"/>
  </r>
  <r>
    <x v="1"/>
    <x v="1"/>
    <s v="Bengaluru Bulls"/>
    <s v="Shabeer Bappu"/>
    <s v="Manjeet Chillar"/>
    <s v="Ravindar Pahal"/>
    <s v="Kashiling Adake"/>
  </r>
  <r>
    <x v="2"/>
    <x v="2"/>
    <s v="U Mumba"/>
    <s v="Rohit Kumar"/>
    <s v="Rohit Kumar"/>
    <s v="Manjeet Chillar"/>
    <s v="Pardeep Narwal"/>
  </r>
  <r>
    <x v="3"/>
    <x v="2"/>
    <s v="Jaipur Pink Panthers"/>
    <s v="Pardeep Narwal"/>
    <s v="Pardeep Narwal"/>
    <s v="Fazel Atrachali"/>
    <s v="Rahul Chaudhari"/>
  </r>
  <r>
    <x v="4"/>
    <x v="2"/>
    <s v="Gujarat Fortunegiants"/>
    <s v="Pardeep Narwal"/>
    <s v="Pardeep Narwal"/>
    <s v="Surender Nada"/>
    <s v="Pardeep Narwal"/>
  </r>
  <r>
    <x v="5"/>
    <x v="3"/>
    <s v="Gujarat Fortunegiants"/>
    <s v="Pawan Sehrawat"/>
    <s v="Pawan Sehrawat"/>
    <s v="Nitesh Kumar"/>
    <s v="Pawan Sehrawat"/>
  </r>
  <r>
    <x v="6"/>
    <x v="4"/>
    <s v="Dabang Delhi K.C."/>
    <s v="Mohammed Nabibaksh"/>
    <s v="Naveen Kumar "/>
    <s v="Fazel Atrachali"/>
    <s v="Pawan Sehrawa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19C998-2372-41FE-871F-FC93378692A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2" firstHeaderRow="0" firstDataRow="1" firstDataCol="1"/>
  <pivotFields count="21">
    <pivotField showAll="0">
      <items count="9">
        <item x="0"/>
        <item h="1" x="1"/>
        <item h="1" x="2"/>
        <item h="1" x="3"/>
        <item h="1" x="4"/>
        <item h="1" x="5"/>
        <item h="1" x="6"/>
        <item h="1" x="7"/>
        <item t="default"/>
      </items>
    </pivotField>
    <pivotField axis="axisRow" showAll="0">
      <items count="13">
        <item x="3"/>
        <item x="0"/>
        <item x="1"/>
        <item x="11"/>
        <item x="8"/>
        <item x="2"/>
        <item x="5"/>
        <item x="6"/>
        <item x="9"/>
        <item x="7"/>
        <item x="4"/>
        <item x="1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s>
  <rowFields count="1">
    <field x="1"/>
  </rowFields>
  <rowItems count="9">
    <i>
      <x/>
    </i>
    <i>
      <x v="1"/>
    </i>
    <i>
      <x v="2"/>
    </i>
    <i>
      <x v="5"/>
    </i>
    <i>
      <x v="6"/>
    </i>
    <i>
      <x v="7"/>
    </i>
    <i>
      <x v="9"/>
    </i>
    <i>
      <x v="10"/>
    </i>
    <i t="grand">
      <x/>
    </i>
  </rowItems>
  <colFields count="1">
    <field x="-2"/>
  </colFields>
  <colItems count="2">
    <i>
      <x/>
    </i>
    <i i="1">
      <x v="1"/>
    </i>
  </colItems>
  <dataFields count="2">
    <dataField name="Sum of super_raids" fld="12" baseField="0" baseItem="0"/>
    <dataField name="Sum of super_tackles" fld="1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829499-7BAB-46E7-87A1-1881629DE8A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3:C13" firstHeaderRow="1" firstDataRow="2" firstDataCol="1"/>
  <pivotFields count="21">
    <pivotField axis="axisCol" showAll="0">
      <items count="9">
        <item x="0"/>
        <item h="1" x="1"/>
        <item h="1" x="2"/>
        <item h="1" x="3"/>
        <item h="1" x="4"/>
        <item h="1" x="5"/>
        <item h="1" x="6"/>
        <item h="1" x="7"/>
        <item t="default"/>
      </items>
    </pivotField>
    <pivotField axis="axisRow" showAll="0" sortType="descending">
      <items count="13">
        <item x="3"/>
        <item x="0"/>
        <item x="1"/>
        <item x="11"/>
        <item x="8"/>
        <item x="2"/>
        <item x="5"/>
        <item x="6"/>
        <item x="9"/>
        <item x="7"/>
        <item x="4"/>
        <item x="1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9">
    <i>
      <x v="5"/>
    </i>
    <i>
      <x v="10"/>
    </i>
    <i>
      <x v="1"/>
    </i>
    <i>
      <x v="6"/>
    </i>
    <i>
      <x v="9"/>
    </i>
    <i>
      <x v="2"/>
    </i>
    <i>
      <x/>
    </i>
    <i>
      <x v="7"/>
    </i>
    <i t="grand">
      <x/>
    </i>
  </rowItems>
  <colFields count="1">
    <field x="0"/>
  </colFields>
  <colItems count="2">
    <i>
      <x/>
    </i>
    <i t="grand">
      <x/>
    </i>
  </colItems>
  <dataFields count="1">
    <dataField name="Sum of wins" fld="3" baseField="0" baseItem="0"/>
  </dataFields>
  <chartFormats count="56">
    <chartFormat chart="37" format="0" series="1">
      <pivotArea type="data" outline="0" fieldPosition="0">
        <references count="2">
          <reference field="4294967294" count="1" selected="0">
            <x v="0"/>
          </reference>
          <reference field="0" count="1" selected="0">
            <x v="0"/>
          </reference>
        </references>
      </pivotArea>
    </chartFormat>
    <chartFormat chart="37" format="1" series="1">
      <pivotArea type="data" outline="0" fieldPosition="0">
        <references count="2">
          <reference field="4294967294" count="1" selected="0">
            <x v="0"/>
          </reference>
          <reference field="0" count="1" selected="0">
            <x v="1"/>
          </reference>
        </references>
      </pivotArea>
    </chartFormat>
    <chartFormat chart="37" format="2" series="1">
      <pivotArea type="data" outline="0" fieldPosition="0">
        <references count="2">
          <reference field="4294967294" count="1" selected="0">
            <x v="0"/>
          </reference>
          <reference field="0" count="1" selected="0">
            <x v="2"/>
          </reference>
        </references>
      </pivotArea>
    </chartFormat>
    <chartFormat chart="37" format="3" series="1">
      <pivotArea type="data" outline="0" fieldPosition="0">
        <references count="2">
          <reference field="4294967294" count="1" selected="0">
            <x v="0"/>
          </reference>
          <reference field="0" count="1" selected="0">
            <x v="3"/>
          </reference>
        </references>
      </pivotArea>
    </chartFormat>
    <chartFormat chart="37" format="4" series="1">
      <pivotArea type="data" outline="0" fieldPosition="0">
        <references count="2">
          <reference field="4294967294" count="1" selected="0">
            <x v="0"/>
          </reference>
          <reference field="0" count="1" selected="0">
            <x v="4"/>
          </reference>
        </references>
      </pivotArea>
    </chartFormat>
    <chartFormat chart="37" format="5" series="1">
      <pivotArea type="data" outline="0" fieldPosition="0">
        <references count="2">
          <reference field="4294967294" count="1" selected="0">
            <x v="0"/>
          </reference>
          <reference field="0" count="1" selected="0">
            <x v="5"/>
          </reference>
        </references>
      </pivotArea>
    </chartFormat>
    <chartFormat chart="37" format="6" series="1">
      <pivotArea type="data" outline="0" fieldPosition="0">
        <references count="2">
          <reference field="4294967294" count="1" selected="0">
            <x v="0"/>
          </reference>
          <reference field="0" count="1" selected="0">
            <x v="6"/>
          </reference>
        </references>
      </pivotArea>
    </chartFormat>
    <chartFormat chart="37" format="7" series="1">
      <pivotArea type="data" outline="0" fieldPosition="0">
        <references count="2">
          <reference field="4294967294" count="1" selected="0">
            <x v="0"/>
          </reference>
          <reference field="0" count="1" selected="0">
            <x v="7"/>
          </reference>
        </references>
      </pivotArea>
    </chartFormat>
    <chartFormat chart="45" format="21" series="1">
      <pivotArea type="data" outline="0" fieldPosition="0">
        <references count="2">
          <reference field="4294967294" count="1" selected="0">
            <x v="0"/>
          </reference>
          <reference field="0" count="1" selected="0">
            <x v="7"/>
          </reference>
        </references>
      </pivotArea>
    </chartFormat>
    <chartFormat chart="45" format="22">
      <pivotArea type="data" outline="0" fieldPosition="0">
        <references count="3">
          <reference field="4294967294" count="1" selected="0">
            <x v="0"/>
          </reference>
          <reference field="0" count="1" selected="0">
            <x v="7"/>
          </reference>
          <reference field="1" count="1" selected="0">
            <x v="10"/>
          </reference>
        </references>
      </pivotArea>
    </chartFormat>
    <chartFormat chart="45" format="23">
      <pivotArea type="data" outline="0" fieldPosition="0">
        <references count="3">
          <reference field="4294967294" count="1" selected="0">
            <x v="0"/>
          </reference>
          <reference field="0" count="1" selected="0">
            <x v="7"/>
          </reference>
          <reference field="1" count="1" selected="0">
            <x v="6"/>
          </reference>
        </references>
      </pivotArea>
    </chartFormat>
    <chartFormat chart="45" format="24">
      <pivotArea type="data" outline="0" fieldPosition="0">
        <references count="3">
          <reference field="4294967294" count="1" selected="0">
            <x v="0"/>
          </reference>
          <reference field="0" count="1" selected="0">
            <x v="7"/>
          </reference>
          <reference field="1" count="1" selected="0">
            <x v="1"/>
          </reference>
        </references>
      </pivotArea>
    </chartFormat>
    <chartFormat chart="45" format="25">
      <pivotArea type="data" outline="0" fieldPosition="0">
        <references count="3">
          <reference field="4294967294" count="1" selected="0">
            <x v="0"/>
          </reference>
          <reference field="0" count="1" selected="0">
            <x v="7"/>
          </reference>
          <reference field="1" count="1" selected="0">
            <x v="0"/>
          </reference>
        </references>
      </pivotArea>
    </chartFormat>
    <chartFormat chart="45" format="26">
      <pivotArea type="data" outline="0" fieldPosition="0">
        <references count="3">
          <reference field="4294967294" count="1" selected="0">
            <x v="0"/>
          </reference>
          <reference field="0" count="1" selected="0">
            <x v="7"/>
          </reference>
          <reference field="1" count="1" selected="0">
            <x v="5"/>
          </reference>
        </references>
      </pivotArea>
    </chartFormat>
    <chartFormat chart="45" format="27">
      <pivotArea type="data" outline="0" fieldPosition="0">
        <references count="3">
          <reference field="4294967294" count="1" selected="0">
            <x v="0"/>
          </reference>
          <reference field="0" count="1" selected="0">
            <x v="7"/>
          </reference>
          <reference field="1" count="1" selected="0">
            <x v="9"/>
          </reference>
        </references>
      </pivotArea>
    </chartFormat>
    <chartFormat chart="45" format="28">
      <pivotArea type="data" outline="0" fieldPosition="0">
        <references count="3">
          <reference field="4294967294" count="1" selected="0">
            <x v="0"/>
          </reference>
          <reference field="0" count="1" selected="0">
            <x v="7"/>
          </reference>
          <reference field="1" count="1" selected="0">
            <x v="7"/>
          </reference>
        </references>
      </pivotArea>
    </chartFormat>
    <chartFormat chart="45" format="29">
      <pivotArea type="data" outline="0" fieldPosition="0">
        <references count="3">
          <reference field="4294967294" count="1" selected="0">
            <x v="0"/>
          </reference>
          <reference field="0" count="1" selected="0">
            <x v="7"/>
          </reference>
          <reference field="1" count="1" selected="0">
            <x v="2"/>
          </reference>
        </references>
      </pivotArea>
    </chartFormat>
    <chartFormat chart="45" format="30">
      <pivotArea type="data" outline="0" fieldPosition="0">
        <references count="3">
          <reference field="4294967294" count="1" selected="0">
            <x v="0"/>
          </reference>
          <reference field="0" count="1" selected="0">
            <x v="7"/>
          </reference>
          <reference field="1" count="1" selected="0">
            <x v="3"/>
          </reference>
        </references>
      </pivotArea>
    </chartFormat>
    <chartFormat chart="45" format="31">
      <pivotArea type="data" outline="0" fieldPosition="0">
        <references count="3">
          <reference field="4294967294" count="1" selected="0">
            <x v="0"/>
          </reference>
          <reference field="0" count="1" selected="0">
            <x v="7"/>
          </reference>
          <reference field="1" count="1" selected="0">
            <x v="4"/>
          </reference>
        </references>
      </pivotArea>
    </chartFormat>
    <chartFormat chart="45" format="32">
      <pivotArea type="data" outline="0" fieldPosition="0">
        <references count="3">
          <reference field="4294967294" count="1" selected="0">
            <x v="0"/>
          </reference>
          <reference field="0" count="1" selected="0">
            <x v="7"/>
          </reference>
          <reference field="1" count="1" selected="0">
            <x v="11"/>
          </reference>
        </references>
      </pivotArea>
    </chartFormat>
    <chartFormat chart="45" format="33">
      <pivotArea type="data" outline="0" fieldPosition="0">
        <references count="3">
          <reference field="4294967294" count="1" selected="0">
            <x v="0"/>
          </reference>
          <reference field="0" count="1" selected="0">
            <x v="7"/>
          </reference>
          <reference field="1" count="1" selected="0">
            <x v="8"/>
          </reference>
        </references>
      </pivotArea>
    </chartFormat>
    <chartFormat chart="37" format="8">
      <pivotArea type="data" outline="0" fieldPosition="0">
        <references count="3">
          <reference field="4294967294" count="1" selected="0">
            <x v="0"/>
          </reference>
          <reference field="0" count="1" selected="0">
            <x v="7"/>
          </reference>
          <reference field="1" count="1" selected="0">
            <x v="10"/>
          </reference>
        </references>
      </pivotArea>
    </chartFormat>
    <chartFormat chart="37" format="9">
      <pivotArea type="data" outline="0" fieldPosition="0">
        <references count="3">
          <reference field="4294967294" count="1" selected="0">
            <x v="0"/>
          </reference>
          <reference field="0" count="1" selected="0">
            <x v="7"/>
          </reference>
          <reference field="1" count="1" selected="0">
            <x v="6"/>
          </reference>
        </references>
      </pivotArea>
    </chartFormat>
    <chartFormat chart="37" format="10">
      <pivotArea type="data" outline="0" fieldPosition="0">
        <references count="3">
          <reference field="4294967294" count="1" selected="0">
            <x v="0"/>
          </reference>
          <reference field="0" count="1" selected="0">
            <x v="7"/>
          </reference>
          <reference field="1" count="1" selected="0">
            <x v="1"/>
          </reference>
        </references>
      </pivotArea>
    </chartFormat>
    <chartFormat chart="37" format="11">
      <pivotArea type="data" outline="0" fieldPosition="0">
        <references count="3">
          <reference field="4294967294" count="1" selected="0">
            <x v="0"/>
          </reference>
          <reference field="0" count="1" selected="0">
            <x v="7"/>
          </reference>
          <reference field="1" count="1" selected="0">
            <x v="0"/>
          </reference>
        </references>
      </pivotArea>
    </chartFormat>
    <chartFormat chart="37" format="12">
      <pivotArea type="data" outline="0" fieldPosition="0">
        <references count="3">
          <reference field="4294967294" count="1" selected="0">
            <x v="0"/>
          </reference>
          <reference field="0" count="1" selected="0">
            <x v="7"/>
          </reference>
          <reference field="1" count="1" selected="0">
            <x v="5"/>
          </reference>
        </references>
      </pivotArea>
    </chartFormat>
    <chartFormat chart="37" format="13">
      <pivotArea type="data" outline="0" fieldPosition="0">
        <references count="3">
          <reference field="4294967294" count="1" selected="0">
            <x v="0"/>
          </reference>
          <reference field="0" count="1" selected="0">
            <x v="7"/>
          </reference>
          <reference field="1" count="1" selected="0">
            <x v="9"/>
          </reference>
        </references>
      </pivotArea>
    </chartFormat>
    <chartFormat chart="37" format="14">
      <pivotArea type="data" outline="0" fieldPosition="0">
        <references count="3">
          <reference field="4294967294" count="1" selected="0">
            <x v="0"/>
          </reference>
          <reference field="0" count="1" selected="0">
            <x v="7"/>
          </reference>
          <reference field="1" count="1" selected="0">
            <x v="7"/>
          </reference>
        </references>
      </pivotArea>
    </chartFormat>
    <chartFormat chart="37" format="15">
      <pivotArea type="data" outline="0" fieldPosition="0">
        <references count="3">
          <reference field="4294967294" count="1" selected="0">
            <x v="0"/>
          </reference>
          <reference field="0" count="1" selected="0">
            <x v="7"/>
          </reference>
          <reference field="1" count="1" selected="0">
            <x v="2"/>
          </reference>
        </references>
      </pivotArea>
    </chartFormat>
    <chartFormat chart="37" format="16">
      <pivotArea type="data" outline="0" fieldPosition="0">
        <references count="3">
          <reference field="4294967294" count="1" selected="0">
            <x v="0"/>
          </reference>
          <reference field="0" count="1" selected="0">
            <x v="7"/>
          </reference>
          <reference field="1" count="1" selected="0">
            <x v="3"/>
          </reference>
        </references>
      </pivotArea>
    </chartFormat>
    <chartFormat chart="37" format="17">
      <pivotArea type="data" outline="0" fieldPosition="0">
        <references count="3">
          <reference field="4294967294" count="1" selected="0">
            <x v="0"/>
          </reference>
          <reference field="0" count="1" selected="0">
            <x v="7"/>
          </reference>
          <reference field="1" count="1" selected="0">
            <x v="4"/>
          </reference>
        </references>
      </pivotArea>
    </chartFormat>
    <chartFormat chart="37" format="18">
      <pivotArea type="data" outline="0" fieldPosition="0">
        <references count="3">
          <reference field="4294967294" count="1" selected="0">
            <x v="0"/>
          </reference>
          <reference field="0" count="1" selected="0">
            <x v="7"/>
          </reference>
          <reference field="1" count="1" selected="0">
            <x v="11"/>
          </reference>
        </references>
      </pivotArea>
    </chartFormat>
    <chartFormat chart="37" format="19">
      <pivotArea type="data" outline="0" fieldPosition="0">
        <references count="3">
          <reference field="4294967294" count="1" selected="0">
            <x v="0"/>
          </reference>
          <reference field="0" count="1" selected="0">
            <x v="7"/>
          </reference>
          <reference field="1" count="1" selected="0">
            <x v="8"/>
          </reference>
        </references>
      </pivotArea>
    </chartFormat>
    <chartFormat chart="45" format="34" series="1">
      <pivotArea type="data" outline="0" fieldPosition="0">
        <references count="2">
          <reference field="4294967294" count="1" selected="0">
            <x v="0"/>
          </reference>
          <reference field="0" count="1" selected="0">
            <x v="3"/>
          </reference>
        </references>
      </pivotArea>
    </chartFormat>
    <chartFormat chart="45" format="35" series="1">
      <pivotArea type="data" outline="0" fieldPosition="0">
        <references count="2">
          <reference field="4294967294" count="1" selected="0">
            <x v="0"/>
          </reference>
          <reference field="0" count="1" selected="0">
            <x v="1"/>
          </reference>
        </references>
      </pivotArea>
    </chartFormat>
    <chartFormat chart="45" format="36" series="1">
      <pivotArea type="data" outline="0" fieldPosition="0">
        <references count="2">
          <reference field="4294967294" count="1" selected="0">
            <x v="0"/>
          </reference>
          <reference field="0" count="1" selected="0">
            <x v="2"/>
          </reference>
        </references>
      </pivotArea>
    </chartFormat>
    <chartFormat chart="45" format="37" series="1">
      <pivotArea type="data" outline="0" fieldPosition="0">
        <references count="2">
          <reference field="4294967294" count="1" selected="0">
            <x v="0"/>
          </reference>
          <reference field="0" count="1" selected="0">
            <x v="5"/>
          </reference>
        </references>
      </pivotArea>
    </chartFormat>
    <chartFormat chart="45" format="38" series="1">
      <pivotArea type="data" outline="0" fieldPosition="0">
        <references count="2">
          <reference field="4294967294" count="1" selected="0">
            <x v="0"/>
          </reference>
          <reference field="0" count="1" selected="0">
            <x v="6"/>
          </reference>
        </references>
      </pivotArea>
    </chartFormat>
    <chartFormat chart="45" format="39" series="1">
      <pivotArea type="data" outline="0" fieldPosition="0">
        <references count="2">
          <reference field="4294967294" count="1" selected="0">
            <x v="0"/>
          </reference>
          <reference field="0" count="1" selected="0">
            <x v="0"/>
          </reference>
        </references>
      </pivotArea>
    </chartFormat>
    <chartFormat chart="45" format="40" series="1">
      <pivotArea type="data" outline="0" fieldPosition="0">
        <references count="2">
          <reference field="4294967294" count="1" selected="0">
            <x v="0"/>
          </reference>
          <reference field="0" count="1" selected="0">
            <x v="4"/>
          </reference>
        </references>
      </pivotArea>
    </chartFormat>
    <chartFormat chart="37" format="20">
      <pivotArea type="data" outline="0" fieldPosition="0">
        <references count="3">
          <reference field="4294967294" count="1" selected="0">
            <x v="0"/>
          </reference>
          <reference field="0" count="1" selected="0">
            <x v="0"/>
          </reference>
          <reference field="1" count="1" selected="0">
            <x v="5"/>
          </reference>
        </references>
      </pivotArea>
    </chartFormat>
    <chartFormat chart="37" format="21">
      <pivotArea type="data" outline="0" fieldPosition="0">
        <references count="3">
          <reference field="4294967294" count="1" selected="0">
            <x v="0"/>
          </reference>
          <reference field="0" count="1" selected="0">
            <x v="0"/>
          </reference>
          <reference field="1" count="1" selected="0">
            <x v="10"/>
          </reference>
        </references>
      </pivotArea>
    </chartFormat>
    <chartFormat chart="37" format="22">
      <pivotArea type="data" outline="0" fieldPosition="0">
        <references count="3">
          <reference field="4294967294" count="1" selected="0">
            <x v="0"/>
          </reference>
          <reference field="0" count="1" selected="0">
            <x v="0"/>
          </reference>
          <reference field="1" count="1" selected="0">
            <x v="1"/>
          </reference>
        </references>
      </pivotArea>
    </chartFormat>
    <chartFormat chart="37" format="23">
      <pivotArea type="data" outline="0" fieldPosition="0">
        <references count="3">
          <reference field="4294967294" count="1" selected="0">
            <x v="0"/>
          </reference>
          <reference field="0" count="1" selected="0">
            <x v="0"/>
          </reference>
          <reference field="1" count="1" selected="0">
            <x v="6"/>
          </reference>
        </references>
      </pivotArea>
    </chartFormat>
    <chartFormat chart="37" format="24">
      <pivotArea type="data" outline="0" fieldPosition="0">
        <references count="3">
          <reference field="4294967294" count="1" selected="0">
            <x v="0"/>
          </reference>
          <reference field="0" count="1" selected="0">
            <x v="0"/>
          </reference>
          <reference field="1" count="1" selected="0">
            <x v="9"/>
          </reference>
        </references>
      </pivotArea>
    </chartFormat>
    <chartFormat chart="37" format="25">
      <pivotArea type="data" outline="0" fieldPosition="0">
        <references count="3">
          <reference field="4294967294" count="1" selected="0">
            <x v="0"/>
          </reference>
          <reference field="0" count="1" selected="0">
            <x v="0"/>
          </reference>
          <reference field="1" count="1" selected="0">
            <x v="2"/>
          </reference>
        </references>
      </pivotArea>
    </chartFormat>
    <chartFormat chart="37" format="26">
      <pivotArea type="data" outline="0" fieldPosition="0">
        <references count="3">
          <reference field="4294967294" count="1" selected="0">
            <x v="0"/>
          </reference>
          <reference field="0" count="1" selected="0">
            <x v="0"/>
          </reference>
          <reference field="1" count="1" selected="0">
            <x v="0"/>
          </reference>
        </references>
      </pivotArea>
    </chartFormat>
    <chartFormat chart="37" format="27">
      <pivotArea type="data" outline="0" fieldPosition="0">
        <references count="3">
          <reference field="4294967294" count="1" selected="0">
            <x v="0"/>
          </reference>
          <reference field="0" count="1" selected="0">
            <x v="0"/>
          </reference>
          <reference field="1" count="1" selected="0">
            <x v="7"/>
          </reference>
        </references>
      </pivotArea>
    </chartFormat>
    <chartFormat chart="45" format="41">
      <pivotArea type="data" outline="0" fieldPosition="0">
        <references count="3">
          <reference field="4294967294" count="1" selected="0">
            <x v="0"/>
          </reference>
          <reference field="0" count="1" selected="0">
            <x v="0"/>
          </reference>
          <reference field="1" count="1" selected="0">
            <x v="5"/>
          </reference>
        </references>
      </pivotArea>
    </chartFormat>
    <chartFormat chart="45" format="42">
      <pivotArea type="data" outline="0" fieldPosition="0">
        <references count="3">
          <reference field="4294967294" count="1" selected="0">
            <x v="0"/>
          </reference>
          <reference field="0" count="1" selected="0">
            <x v="0"/>
          </reference>
          <reference field="1" count="1" selected="0">
            <x v="10"/>
          </reference>
        </references>
      </pivotArea>
    </chartFormat>
    <chartFormat chart="45" format="43">
      <pivotArea type="data" outline="0" fieldPosition="0">
        <references count="3">
          <reference field="4294967294" count="1" selected="0">
            <x v="0"/>
          </reference>
          <reference field="0" count="1" selected="0">
            <x v="0"/>
          </reference>
          <reference field="1" count="1" selected="0">
            <x v="1"/>
          </reference>
        </references>
      </pivotArea>
    </chartFormat>
    <chartFormat chart="45" format="44">
      <pivotArea type="data" outline="0" fieldPosition="0">
        <references count="3">
          <reference field="4294967294" count="1" selected="0">
            <x v="0"/>
          </reference>
          <reference field="0" count="1" selected="0">
            <x v="0"/>
          </reference>
          <reference field="1" count="1" selected="0">
            <x v="6"/>
          </reference>
        </references>
      </pivotArea>
    </chartFormat>
    <chartFormat chart="45" format="45">
      <pivotArea type="data" outline="0" fieldPosition="0">
        <references count="3">
          <reference field="4294967294" count="1" selected="0">
            <x v="0"/>
          </reference>
          <reference field="0" count="1" selected="0">
            <x v="0"/>
          </reference>
          <reference field="1" count="1" selected="0">
            <x v="9"/>
          </reference>
        </references>
      </pivotArea>
    </chartFormat>
    <chartFormat chart="45" format="46">
      <pivotArea type="data" outline="0" fieldPosition="0">
        <references count="3">
          <reference field="4294967294" count="1" selected="0">
            <x v="0"/>
          </reference>
          <reference field="0" count="1" selected="0">
            <x v="0"/>
          </reference>
          <reference field="1" count="1" selected="0">
            <x v="2"/>
          </reference>
        </references>
      </pivotArea>
    </chartFormat>
    <chartFormat chart="45" format="47">
      <pivotArea type="data" outline="0" fieldPosition="0">
        <references count="3">
          <reference field="4294967294" count="1" selected="0">
            <x v="0"/>
          </reference>
          <reference field="0" count="1" selected="0">
            <x v="0"/>
          </reference>
          <reference field="1" count="1" selected="0">
            <x v="0"/>
          </reference>
        </references>
      </pivotArea>
    </chartFormat>
    <chartFormat chart="45" format="48">
      <pivotArea type="data" outline="0" fieldPosition="0">
        <references count="3">
          <reference field="4294967294" count="1" selected="0">
            <x v="0"/>
          </reference>
          <reference field="0"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9ACDD6-14F4-4FD9-8363-34737785A25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7">
    <pivotField showAll="0">
      <items count="8">
        <item x="0"/>
        <item h="1" x="1"/>
        <item h="1" x="2"/>
        <item h="1" x="3"/>
        <item h="1" x="4"/>
        <item h="1" x="5"/>
        <item h="1" x="6"/>
        <item t="default"/>
      </items>
    </pivotField>
    <pivotField axis="axisRow" dataField="1" showAll="0">
      <items count="6">
        <item x="4"/>
        <item x="3"/>
        <item x="0"/>
        <item x="2"/>
        <item x="1"/>
        <item t="default"/>
      </items>
    </pivotField>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632F08-E02D-49E2-BA3C-23F221029BE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12" firstHeaderRow="0" firstDataRow="1" firstDataCol="1"/>
  <pivotFields count="21">
    <pivotField showAll="0">
      <items count="9">
        <item x="0"/>
        <item h="1" x="1"/>
        <item h="1" x="2"/>
        <item h="1" x="3"/>
        <item h="1" x="4"/>
        <item h="1" x="5"/>
        <item h="1" x="6"/>
        <item h="1" x="7"/>
        <item t="default"/>
      </items>
    </pivotField>
    <pivotField axis="axisRow" showAll="0">
      <items count="13">
        <item x="3"/>
        <item x="0"/>
        <item x="1"/>
        <item x="11"/>
        <item x="8"/>
        <item x="2"/>
        <item x="5"/>
        <item x="6"/>
        <item x="9"/>
        <item x="7"/>
        <item x="4"/>
        <item x="1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s>
  <rowFields count="1">
    <field x="1"/>
  </rowFields>
  <rowItems count="9">
    <i>
      <x/>
    </i>
    <i>
      <x v="1"/>
    </i>
    <i>
      <x v="2"/>
    </i>
    <i>
      <x v="5"/>
    </i>
    <i>
      <x v="6"/>
    </i>
    <i>
      <x v="7"/>
    </i>
    <i>
      <x v="9"/>
    </i>
    <i>
      <x v="10"/>
    </i>
    <i t="grand">
      <x/>
    </i>
  </rowItems>
  <colFields count="1">
    <field x="-2"/>
  </colFields>
  <colItems count="2">
    <i>
      <x/>
    </i>
    <i i="1">
      <x v="1"/>
    </i>
  </colItems>
  <dataFields count="2">
    <dataField name="Average of success_raid_percent" fld="11" subtotal="average" baseField="1" baseItem="0" numFmtId="2"/>
    <dataField name="Average of tackle_success_rate" fld="16" subtotal="average" baseField="1" baseItem="0" numFmtId="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7" format="6">
      <pivotArea type="data" outline="0" fieldPosition="0">
        <references count="2">
          <reference field="4294967294" count="1" selected="0">
            <x v="1"/>
          </reference>
          <reference field="1" count="1" selected="0">
            <x v="1"/>
          </reference>
        </references>
      </pivotArea>
    </chartFormat>
    <chartFormat chart="7" format="7">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4ABE8A-6D52-4956-8A3D-A4B19964091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12" firstHeaderRow="0" firstDataRow="1" firstDataCol="1"/>
  <pivotFields count="21">
    <pivotField showAll="0">
      <items count="9">
        <item x="0"/>
        <item h="1" x="1"/>
        <item h="1" x="2"/>
        <item h="1" x="3"/>
        <item h="1" x="4"/>
        <item h="1" x="5"/>
        <item h="1" x="6"/>
        <item h="1" x="7"/>
        <item t="default"/>
      </items>
    </pivotField>
    <pivotField axis="axisRow" showAll="0">
      <items count="13">
        <item x="3"/>
        <item x="0"/>
        <item x="1"/>
        <item x="11"/>
        <item x="8"/>
        <item x="2"/>
        <item x="5"/>
        <item x="6"/>
        <item x="9"/>
        <item x="7"/>
        <item x="4"/>
        <item x="10"/>
        <item t="default"/>
      </items>
    </pivotField>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9">
    <i>
      <x/>
    </i>
    <i>
      <x v="1"/>
    </i>
    <i>
      <x v="2"/>
    </i>
    <i>
      <x v="5"/>
    </i>
    <i>
      <x v="6"/>
    </i>
    <i>
      <x v="7"/>
    </i>
    <i>
      <x v="9"/>
    </i>
    <i>
      <x v="10"/>
    </i>
    <i t="grand">
      <x/>
    </i>
  </rowItems>
  <colFields count="1">
    <field x="-2"/>
  </colFields>
  <colItems count="3">
    <i>
      <x/>
    </i>
    <i i="1">
      <x v="1"/>
    </i>
    <i i="2">
      <x v="2"/>
    </i>
  </colItems>
  <dataFields count="3">
    <dataField name="Sum of wins" fld="3" baseField="0" baseItem="0"/>
    <dataField name="Sum of losses" fld="4" baseField="0" baseItem="0"/>
    <dataField name="Sum of draws" fld="5"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7" format="9"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1"/>
          </reference>
        </references>
      </pivotArea>
    </chartFormat>
    <chartFormat chart="7"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91253F-E4B8-42A7-BC3D-08C62EBF2AD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21">
    <pivotField axis="axisRow" showAll="0">
      <items count="9">
        <item x="0"/>
        <item h="1" x="1"/>
        <item h="1" x="2"/>
        <item h="1" x="3"/>
        <item h="1" x="4"/>
        <item h="1" x="5"/>
        <item h="1" x="6"/>
        <item h="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s_status1" xr10:uid="{F78B94C1-05E1-4B88-B2C2-34003D1A2C1A}" sourceName="stats_status">
  <pivotTables>
    <pivotTable tabId="10" name="PivotTable1"/>
    <pivotTable tabId="14" name="PivotTable3"/>
    <pivotTable tabId="15" name="PivotTable4"/>
    <pivotTable tabId="17" name="PivotTable6"/>
    <pivotTable tabId="18" name="PivotTable1"/>
  </pivotTables>
  <data>
    <tabular pivotCacheId="1891853351">
      <items count="8">
        <i x="0" s="1"/>
        <i x="1"/>
        <i x="2"/>
        <i x="3"/>
        <i x="4"/>
        <i x="5"/>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s_status 1" xr10:uid="{08973C4D-2C99-4C0B-A7F1-7D8EB19F8A22}" cache="Slicer_stats_status1" caption="stats_status"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s_status 2" xr10:uid="{D9ADD3FC-0F04-4CC1-A441-1637A28DB669}" cache="Slicer_stats_status1" caption="stats_status"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s_status" xr10:uid="{09523DF0-2CC3-45DC-A44A-AF3B8B02BFE3}" cache="Slicer_stats_status1" caption="stats_status"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s_status 3" xr10:uid="{890F9BA4-1280-4241-A61C-4594467E2BC0}" cache="Slicer_stats_status1" caption="stats_status"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s_status 4" xr10:uid="{8B6D7024-C8D3-4CED-AA32-086BA144147D}" cache="Slicer_stats_status1" caption="stats_status" columnCount="8" showCaption="0" style="SlicerStyleDark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1ED2384-3C5B-445C-85B1-30D0FE76B6D6}" name="Table6" displayName="Table6" ref="B3:H12" totalsRowShown="0" headerRowDxfId="18" tableBorderDxfId="17">
  <autoFilter ref="B3:H12" xr:uid="{11ED2384-3C5B-445C-85B1-30D0FE76B6D6}"/>
  <tableColumns count="7">
    <tableColumn id="1" xr3:uid="{1260FC3D-19B1-4C67-8943-B8CB4DB70D7E}" name="Season" dataDxfId="16"/>
    <tableColumn id="2" xr3:uid="{51532A46-1433-4846-BB22-B1BED258069B}" name="Winner" dataDxfId="15"/>
    <tableColumn id="3" xr3:uid="{E5D1A7F4-9F14-402B-BBCF-E5BEF18CAA0C}" name="Runner Up" dataDxfId="14"/>
    <tableColumn id="4" xr3:uid="{DFD9369A-2544-42EA-9D85-60FEA9CDB506}" name="Player of the Match" dataDxfId="13"/>
    <tableColumn id="5" xr3:uid="{EBBE1834-F365-409A-8B94-AC7E54167AAF}" name="Player of the Series" dataDxfId="12"/>
    <tableColumn id="6" xr3:uid="{9934DA8F-043D-4624-B5AE-8A13631BD1AA}" name="Best Defender" dataDxfId="11"/>
    <tableColumn id="7" xr3:uid="{6B34D1A4-C680-429D-84CB-F553CB527BD7}" name="Best Raider"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AAF19E-4C0E-4FAD-8348-C2EE11D16732}" name="Table14" displayName="Table14" ref="A1:U81" totalsRowShown="0">
  <autoFilter ref="A1:U81" xr:uid="{AB9BACBF-ADC1-4F2E-8DAE-F51EEE08A6CA}"/>
  <tableColumns count="21">
    <tableColumn id="1" xr3:uid="{002184E2-D449-484B-900D-4718A60E4DBF}" name="stats_status"/>
    <tableColumn id="2" xr3:uid="{279277ED-34DE-495F-8616-D1B5400D1234}" name="team_name"/>
    <tableColumn id="3" xr3:uid="{1C3E4A23-8F4B-435D-972C-6085E0426431}" name="total_matches"/>
    <tableColumn id="4" xr3:uid="{CF507183-A883-409F-BC70-9BD0DE078EEF}" name="wins"/>
    <tableColumn id="5" xr3:uid="{D69ABED4-CB2D-4A42-980C-7E01A2985475}" name="losses"/>
    <tableColumn id="6" xr3:uid="{8682B4C5-4A3A-4021-85F7-0F118B7CB041}" name="draws"/>
    <tableColumn id="7" xr3:uid="{35AAAF1D-BB16-460D-B955-6E40F3622994}" name="total_raids"/>
    <tableColumn id="8" xr3:uid="{1471C5DF-AC1F-4A26-A12A-272ED8FD386C}" name="success_raids"/>
    <tableColumn id="9" xr3:uid="{70FC880D-381B-4176-9F0E-5C71698A7B32}" name="all_outs"/>
    <tableColumn id="10" xr3:uid="{771D9E9E-6F07-4229-9152-E28FABC6C20A}" name="unsuccess_raids"/>
    <tableColumn id="11" xr3:uid="{A8771E55-EF27-4504-9A75-D2DA814B701B}" name="empty_raid"/>
    <tableColumn id="22" xr3:uid="{DDDFCCA1-1452-4C52-9F2F-FAD46612A70E}" name="success_raid_percent" dataDxfId="9" dataCellStyle="Percent">
      <calculatedColumnFormula>ROUND(((Table14[[#This Row],[success_raids]]*100)/Table14[[#This Row],[total_raids]])&amp;"%",3)</calculatedColumnFormula>
    </tableColumn>
    <tableColumn id="13" xr3:uid="{79109E7C-42EC-4600-A750-E255376E422B}" name="super_raids"/>
    <tableColumn id="14" xr3:uid="{BEA6925F-46FB-47FF-BDE4-CFB2B2FB63B2}" name="total_tackles"/>
    <tableColumn id="15" xr3:uid="{CFABF3D3-BCA9-4BE5-8A91-6E9944A42310}" name="success_tackles"/>
    <tableColumn id="16" xr3:uid="{D3257BF2-EB63-4607-861D-DDC3F805F066}" name="unsuccesful_tackles"/>
    <tableColumn id="23" xr3:uid="{FEFCAD76-13A7-4F9A-8509-DC591B249563}" name="tackle_success_rate" dataCellStyle="Percent">
      <calculatedColumnFormula>ROUND(((Table14[[#This Row],[success_tackles]]*100)/Table14[[#This Row],[total_tackles]]&amp;"%"),3)</calculatedColumnFormula>
    </tableColumn>
    <tableColumn id="18" xr3:uid="{461E9A4E-9D9D-4DFF-A9D9-2FB6F98933DC}" name="super_tackles"/>
    <tableColumn id="19" xr3:uid="{2CED670B-46CD-4D2C-B475-D0A87DED241F}" name="green_cards"/>
    <tableColumn id="20" xr3:uid="{3E77D36C-620D-4127-8813-21D0006D9E3D}" name="yellow_cards"/>
    <tableColumn id="21" xr3:uid="{65678651-E632-4FE1-95E1-FF29B1130A5D}" name="red_card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9B34E6A-C50F-43CE-B63D-60B463437D1A}" name="Table65" displayName="Table65" ref="F20:L28" totalsRowShown="0" headerRowDxfId="8" tableBorderDxfId="7">
  <autoFilter ref="F20:L28" xr:uid="{B9B34E6A-C50F-43CE-B63D-60B463437D1A}"/>
  <tableColumns count="7">
    <tableColumn id="1" xr3:uid="{DEECF0E0-DB12-4A4A-B54C-5C7453144175}" name="Season" dataDxfId="6"/>
    <tableColumn id="2" xr3:uid="{CA143080-FB4D-4BBB-9913-16DA7DE336D1}" name="Winner" dataDxfId="5"/>
    <tableColumn id="3" xr3:uid="{7112D4E3-45C0-4EB9-81E4-3788EFE2F3F2}" name="Runner Up" dataDxfId="4"/>
    <tableColumn id="4" xr3:uid="{0CC2A849-9B56-49CF-910C-00A128A0021A}" name="Player of the Match" dataDxfId="3"/>
    <tableColumn id="5" xr3:uid="{88B47603-D2E9-4FE1-A706-3206A007D4FA}" name="Player of the Series" dataDxfId="2"/>
    <tableColumn id="6" xr3:uid="{90598482-DCF6-4A1C-869A-9730595391A1}" name="Best Defender" dataDxfId="1"/>
    <tableColumn id="7" xr3:uid="{C4BDC49E-5535-4802-9481-1512CABE7982}" name="Best Raide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07/relationships/slicer" Target="../slicers/slicer4.xml"/></Relationships>
</file>

<file path=xl/worksheets/_rels/sheet9.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5964F-A316-4FDA-ABD6-33810F76A3A4}">
  <dimension ref="B3:H12"/>
  <sheetViews>
    <sheetView workbookViewId="0">
      <selection activeCell="E6" sqref="E6"/>
    </sheetView>
  </sheetViews>
  <sheetFormatPr defaultRowHeight="15" x14ac:dyDescent="0.25"/>
  <cols>
    <col min="1" max="1" width="7.42578125" bestFit="1" customWidth="1"/>
    <col min="2" max="2" width="12.140625" customWidth="1"/>
    <col min="3" max="3" width="18.5703125" customWidth="1"/>
    <col min="4" max="4" width="20.85546875" customWidth="1"/>
    <col min="5" max="5" width="21.7109375" customWidth="1"/>
    <col min="6" max="6" width="20.5703125" customWidth="1"/>
    <col min="7" max="8" width="17.85546875" customWidth="1"/>
  </cols>
  <sheetData>
    <row r="3" spans="2:8" x14ac:dyDescent="0.25">
      <c r="B3" s="10" t="s">
        <v>21</v>
      </c>
      <c r="C3" s="2" t="s">
        <v>22</v>
      </c>
      <c r="D3" s="2" t="s">
        <v>23</v>
      </c>
      <c r="E3" s="2" t="s">
        <v>25</v>
      </c>
      <c r="F3" s="2" t="s">
        <v>24</v>
      </c>
      <c r="G3" s="11" t="s">
        <v>35</v>
      </c>
      <c r="H3" s="12" t="s">
        <v>36</v>
      </c>
    </row>
    <row r="4" spans="2:8" x14ac:dyDescent="0.25">
      <c r="B4" s="5" t="s">
        <v>1</v>
      </c>
      <c r="C4" s="1" t="s">
        <v>2</v>
      </c>
      <c r="D4" s="1" t="s">
        <v>3</v>
      </c>
      <c r="E4" s="1" t="s">
        <v>27</v>
      </c>
      <c r="F4" s="1" t="s">
        <v>26</v>
      </c>
      <c r="G4" s="1" t="s">
        <v>34</v>
      </c>
      <c r="H4" s="6" t="s">
        <v>26</v>
      </c>
    </row>
    <row r="5" spans="2:8" x14ac:dyDescent="0.25">
      <c r="B5" s="5" t="s">
        <v>10</v>
      </c>
      <c r="C5" s="1" t="s">
        <v>3</v>
      </c>
      <c r="D5" s="1" t="s">
        <v>5</v>
      </c>
      <c r="E5" s="1" t="s">
        <v>28</v>
      </c>
      <c r="F5" s="1" t="s">
        <v>34</v>
      </c>
      <c r="G5" s="1" t="s">
        <v>37</v>
      </c>
      <c r="H5" s="6" t="s">
        <v>33</v>
      </c>
    </row>
    <row r="6" spans="2:8" x14ac:dyDescent="0.25">
      <c r="B6" s="5" t="s">
        <v>11</v>
      </c>
      <c r="C6" s="1" t="s">
        <v>4</v>
      </c>
      <c r="D6" s="1" t="s">
        <v>3</v>
      </c>
      <c r="E6" s="1" t="s">
        <v>29</v>
      </c>
      <c r="F6" s="1" t="s">
        <v>29</v>
      </c>
      <c r="G6" s="1" t="s">
        <v>34</v>
      </c>
      <c r="H6" s="6" t="s">
        <v>30</v>
      </c>
    </row>
    <row r="7" spans="2:8" x14ac:dyDescent="0.25">
      <c r="B7" s="5" t="s">
        <v>12</v>
      </c>
      <c r="C7" s="1" t="s">
        <v>4</v>
      </c>
      <c r="D7" s="1" t="s">
        <v>2</v>
      </c>
      <c r="E7" s="1" t="s">
        <v>30</v>
      </c>
      <c r="F7" s="1" t="s">
        <v>30</v>
      </c>
      <c r="G7" s="1" t="s">
        <v>39</v>
      </c>
      <c r="H7" s="6" t="s">
        <v>38</v>
      </c>
    </row>
    <row r="8" spans="2:8" x14ac:dyDescent="0.25">
      <c r="B8" s="5" t="s">
        <v>13</v>
      </c>
      <c r="C8" s="1" t="s">
        <v>4</v>
      </c>
      <c r="D8" s="1" t="s">
        <v>14</v>
      </c>
      <c r="E8" s="1" t="s">
        <v>30</v>
      </c>
      <c r="F8" s="1" t="s">
        <v>30</v>
      </c>
      <c r="G8" s="1" t="s">
        <v>40</v>
      </c>
      <c r="H8" s="6" t="s">
        <v>30</v>
      </c>
    </row>
    <row r="9" spans="2:8" x14ac:dyDescent="0.25">
      <c r="B9" s="5" t="s">
        <v>18</v>
      </c>
      <c r="C9" s="1" t="s">
        <v>5</v>
      </c>
      <c r="D9" s="1" t="s">
        <v>14</v>
      </c>
      <c r="E9" s="1" t="s">
        <v>31</v>
      </c>
      <c r="F9" s="1" t="s">
        <v>31</v>
      </c>
      <c r="G9" s="1" t="s">
        <v>41</v>
      </c>
      <c r="H9" s="6" t="s">
        <v>31</v>
      </c>
    </row>
    <row r="10" spans="2:8" x14ac:dyDescent="0.25">
      <c r="B10" s="7" t="s">
        <v>19</v>
      </c>
      <c r="C10" s="8" t="s">
        <v>8</v>
      </c>
      <c r="D10" s="8" t="s">
        <v>7</v>
      </c>
      <c r="E10" s="8" t="s">
        <v>32</v>
      </c>
      <c r="F10" s="8" t="s">
        <v>42</v>
      </c>
      <c r="G10" s="8" t="s">
        <v>39</v>
      </c>
      <c r="H10" s="9" t="s">
        <v>31</v>
      </c>
    </row>
    <row r="11" spans="2:8" x14ac:dyDescent="0.25">
      <c r="B11" s="7" t="s">
        <v>20</v>
      </c>
      <c r="C11" s="8" t="s">
        <v>4</v>
      </c>
      <c r="D11" s="8" t="s">
        <v>3</v>
      </c>
      <c r="E11" s="8"/>
      <c r="F11" s="8"/>
      <c r="G11" s="8" t="s">
        <v>39</v>
      </c>
      <c r="H11" s="9" t="s">
        <v>30</v>
      </c>
    </row>
    <row r="12" spans="2:8" x14ac:dyDescent="0.25">
      <c r="B12" s="7"/>
      <c r="C12" s="8"/>
      <c r="D12" s="8"/>
      <c r="E12" s="8"/>
      <c r="F12" s="8"/>
      <c r="G12" s="8"/>
      <c r="H12" s="9"/>
    </row>
  </sheetData>
  <phoneticPr fontId="18"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D7E83-9503-4B39-803C-669BEB0120C4}">
  <dimension ref="A1:U81"/>
  <sheetViews>
    <sheetView topLeftCell="O2" zoomScale="103" zoomScaleNormal="89" workbookViewId="0">
      <selection activeCell="N10" sqref="N10"/>
    </sheetView>
  </sheetViews>
  <sheetFormatPr defaultRowHeight="15" x14ac:dyDescent="0.25"/>
  <cols>
    <col min="1" max="1" width="13.5703125" customWidth="1"/>
    <col min="2" max="2" width="20.42578125" bestFit="1" customWidth="1"/>
    <col min="3" max="3" width="15.42578125" customWidth="1"/>
    <col min="4" max="4" width="7.140625" customWidth="1"/>
    <col min="5" max="5" width="8.7109375" customWidth="1"/>
    <col min="6" max="6" width="8.140625" customWidth="1"/>
    <col min="7" max="7" width="12.140625" customWidth="1"/>
    <col min="8" max="8" width="15.28515625" customWidth="1"/>
    <col min="9" max="9" width="9.85546875" customWidth="1"/>
    <col min="10" max="10" width="17.42578125" customWidth="1"/>
    <col min="11" max="11" width="12.7109375" customWidth="1"/>
    <col min="12" max="12" width="9.5703125" style="13" customWidth="1"/>
    <col min="13" max="13" width="13.140625" customWidth="1"/>
    <col min="14" max="14" width="14.140625" customWidth="1"/>
    <col min="15" max="15" width="17.140625" customWidth="1"/>
    <col min="16" max="16" width="20.85546875" customWidth="1"/>
    <col min="17" max="17" width="20.85546875" style="13" customWidth="1"/>
    <col min="18" max="18" width="15.140625" customWidth="1"/>
    <col min="19" max="19" width="13.5703125" customWidth="1"/>
    <col min="20" max="20" width="14.28515625" customWidth="1"/>
    <col min="21" max="21" width="11.5703125" customWidth="1"/>
  </cols>
  <sheetData>
    <row r="1" spans="1:21" x14ac:dyDescent="0.25">
      <c r="A1" t="s">
        <v>70</v>
      </c>
      <c r="B1" t="s">
        <v>0</v>
      </c>
      <c r="C1" t="s">
        <v>69</v>
      </c>
      <c r="D1" t="s">
        <v>68</v>
      </c>
      <c r="E1" t="s">
        <v>67</v>
      </c>
      <c r="F1" t="s">
        <v>66</v>
      </c>
      <c r="G1" t="s">
        <v>65</v>
      </c>
      <c r="H1" t="s">
        <v>64</v>
      </c>
      <c r="I1" t="s">
        <v>63</v>
      </c>
      <c r="J1" t="s">
        <v>62</v>
      </c>
      <c r="K1" t="s">
        <v>61</v>
      </c>
      <c r="L1" s="13" t="s">
        <v>60</v>
      </c>
      <c r="M1" t="s">
        <v>59</v>
      </c>
      <c r="N1" t="s">
        <v>58</v>
      </c>
      <c r="O1" t="s">
        <v>57</v>
      </c>
      <c r="P1" t="s">
        <v>56</v>
      </c>
      <c r="Q1" s="13" t="s">
        <v>55</v>
      </c>
      <c r="R1" t="s">
        <v>54</v>
      </c>
      <c r="S1" t="s">
        <v>53</v>
      </c>
      <c r="T1" t="s">
        <v>52</v>
      </c>
      <c r="U1" t="s">
        <v>51</v>
      </c>
    </row>
    <row r="2" spans="1:21" x14ac:dyDescent="0.25">
      <c r="A2" t="s">
        <v>49</v>
      </c>
      <c r="B2" t="s">
        <v>5</v>
      </c>
      <c r="C2">
        <v>16</v>
      </c>
      <c r="D2">
        <v>8</v>
      </c>
      <c r="E2">
        <v>7</v>
      </c>
      <c r="F2">
        <v>1</v>
      </c>
      <c r="G2">
        <v>647</v>
      </c>
      <c r="H2">
        <v>225</v>
      </c>
      <c r="I2">
        <v>20</v>
      </c>
      <c r="J2">
        <v>172</v>
      </c>
      <c r="K2">
        <v>250</v>
      </c>
      <c r="L2" s="13">
        <f>ROUND(((Table14[[#This Row],[success_raids]]*100)/Table14[[#This Row],[total_raids]])&amp;"%",3)</f>
        <v>0.34799999999999998</v>
      </c>
      <c r="M2">
        <v>7</v>
      </c>
      <c r="N2">
        <v>353</v>
      </c>
      <c r="O2">
        <v>153</v>
      </c>
      <c r="P2">
        <v>200</v>
      </c>
      <c r="Q2" s="13">
        <f>ROUND(((Table14[[#This Row],[success_tackles]]*100)/Table14[[#This Row],[total_tackles]]&amp;"%"),3)</f>
        <v>0.433</v>
      </c>
      <c r="R2">
        <v>10</v>
      </c>
      <c r="S2">
        <v>8</v>
      </c>
      <c r="T2">
        <v>1</v>
      </c>
      <c r="U2">
        <v>0</v>
      </c>
    </row>
    <row r="3" spans="1:21" x14ac:dyDescent="0.25">
      <c r="A3" t="s">
        <v>48</v>
      </c>
      <c r="B3" t="s">
        <v>5</v>
      </c>
      <c r="C3">
        <v>16</v>
      </c>
      <c r="D3">
        <v>10</v>
      </c>
      <c r="E3">
        <v>6</v>
      </c>
      <c r="F3">
        <v>0</v>
      </c>
      <c r="G3">
        <v>730</v>
      </c>
      <c r="H3">
        <v>194</v>
      </c>
      <c r="I3">
        <v>25</v>
      </c>
      <c r="J3">
        <v>163</v>
      </c>
      <c r="K3">
        <v>373</v>
      </c>
      <c r="L3" s="13">
        <f>ROUND(((Table14[[#This Row],[success_raids]]*100)/Table14[[#This Row],[total_raids]])&amp;"%",3)</f>
        <v>0.26600000000000001</v>
      </c>
      <c r="M3">
        <v>10</v>
      </c>
      <c r="N3">
        <v>341</v>
      </c>
      <c r="O3">
        <v>158</v>
      </c>
      <c r="P3">
        <v>183</v>
      </c>
      <c r="Q3" s="13">
        <f>ROUND(((Table14[[#This Row],[success_tackles]]*100)/Table14[[#This Row],[total_tackles]]&amp;"%"),3)</f>
        <v>0.46300000000000002</v>
      </c>
      <c r="R3">
        <v>7</v>
      </c>
      <c r="S3">
        <v>24</v>
      </c>
      <c r="T3">
        <v>0</v>
      </c>
      <c r="U3">
        <v>0</v>
      </c>
    </row>
    <row r="4" spans="1:21" x14ac:dyDescent="0.25">
      <c r="A4" t="s">
        <v>47</v>
      </c>
      <c r="B4" t="s">
        <v>5</v>
      </c>
      <c r="C4">
        <v>14</v>
      </c>
      <c r="D4">
        <v>2</v>
      </c>
      <c r="E4">
        <v>12</v>
      </c>
      <c r="F4">
        <v>0</v>
      </c>
      <c r="G4">
        <v>603</v>
      </c>
      <c r="H4">
        <v>158</v>
      </c>
      <c r="I4">
        <v>12</v>
      </c>
      <c r="J4">
        <v>148</v>
      </c>
      <c r="K4">
        <v>297</v>
      </c>
      <c r="L4" s="13">
        <f>ROUND(((Table14[[#This Row],[success_raids]]*100)/Table14[[#This Row],[total_raids]])&amp;"%",3)</f>
        <v>0.26200000000000001</v>
      </c>
      <c r="M4">
        <v>9</v>
      </c>
      <c r="N4">
        <v>291</v>
      </c>
      <c r="O4">
        <v>94</v>
      </c>
      <c r="P4">
        <v>197</v>
      </c>
      <c r="Q4" s="13">
        <f>ROUND(((Table14[[#This Row],[success_tackles]]*100)/Table14[[#This Row],[total_tackles]]&amp;"%"),3)</f>
        <v>0.32300000000000001</v>
      </c>
      <c r="R4">
        <v>7</v>
      </c>
      <c r="S4">
        <v>5</v>
      </c>
      <c r="T4">
        <v>3</v>
      </c>
      <c r="U4">
        <v>1</v>
      </c>
    </row>
    <row r="5" spans="1:21" x14ac:dyDescent="0.25">
      <c r="A5" t="s">
        <v>46</v>
      </c>
      <c r="B5" t="s">
        <v>5</v>
      </c>
      <c r="C5">
        <v>14</v>
      </c>
      <c r="D5">
        <v>5</v>
      </c>
      <c r="E5">
        <v>8</v>
      </c>
      <c r="F5">
        <v>1</v>
      </c>
      <c r="G5">
        <v>605</v>
      </c>
      <c r="H5">
        <v>157</v>
      </c>
      <c r="I5">
        <v>9</v>
      </c>
      <c r="J5">
        <v>143</v>
      </c>
      <c r="K5">
        <v>305</v>
      </c>
      <c r="L5" s="13">
        <f>ROUND(((Table14[[#This Row],[success_raids]]*100)/Table14[[#This Row],[total_raids]])&amp;"%",3)</f>
        <v>0.26</v>
      </c>
      <c r="M5">
        <v>4</v>
      </c>
      <c r="N5">
        <v>287</v>
      </c>
      <c r="O5">
        <v>109</v>
      </c>
      <c r="P5">
        <v>178</v>
      </c>
      <c r="Q5" s="13">
        <f>ROUND(((Table14[[#This Row],[success_tackles]]*100)/Table14[[#This Row],[total_tackles]]&amp;"%"),3)</f>
        <v>0.38</v>
      </c>
      <c r="R5">
        <v>15</v>
      </c>
      <c r="S5">
        <v>3</v>
      </c>
      <c r="T5">
        <v>0</v>
      </c>
      <c r="U5">
        <v>0</v>
      </c>
    </row>
    <row r="6" spans="1:21" x14ac:dyDescent="0.25">
      <c r="A6" t="s">
        <v>45</v>
      </c>
      <c r="B6" t="s">
        <v>5</v>
      </c>
      <c r="C6">
        <v>22</v>
      </c>
      <c r="D6">
        <v>8</v>
      </c>
      <c r="E6">
        <v>11</v>
      </c>
      <c r="F6">
        <v>3</v>
      </c>
      <c r="G6">
        <v>943</v>
      </c>
      <c r="H6">
        <v>336</v>
      </c>
      <c r="I6">
        <v>28</v>
      </c>
      <c r="J6">
        <v>195</v>
      </c>
      <c r="K6">
        <v>412</v>
      </c>
      <c r="L6" s="13">
        <f>ROUND(((Table14[[#This Row],[success_raids]]*100)/Table14[[#This Row],[total_raids]])&amp;"%",3)</f>
        <v>0.35599999999999998</v>
      </c>
      <c r="M6">
        <v>5</v>
      </c>
      <c r="N6">
        <v>480</v>
      </c>
      <c r="O6">
        <v>185</v>
      </c>
      <c r="P6">
        <v>295</v>
      </c>
      <c r="Q6" s="13">
        <f>ROUND(((Table14[[#This Row],[success_tackles]]*100)/Table14[[#This Row],[total_tackles]]&amp;"%"),3)</f>
        <v>0.38500000000000001</v>
      </c>
      <c r="R6">
        <v>17</v>
      </c>
      <c r="S6">
        <v>8</v>
      </c>
      <c r="T6">
        <v>0</v>
      </c>
      <c r="U6">
        <v>1</v>
      </c>
    </row>
    <row r="7" spans="1:21" x14ac:dyDescent="0.25">
      <c r="A7" t="s">
        <v>44</v>
      </c>
      <c r="B7" t="s">
        <v>5</v>
      </c>
      <c r="C7">
        <v>24</v>
      </c>
      <c r="D7">
        <v>15</v>
      </c>
      <c r="E7">
        <v>7</v>
      </c>
      <c r="F7">
        <v>2</v>
      </c>
      <c r="G7">
        <v>1005</v>
      </c>
      <c r="H7">
        <v>431</v>
      </c>
      <c r="I7">
        <v>37</v>
      </c>
      <c r="J7">
        <v>211</v>
      </c>
      <c r="K7">
        <v>363</v>
      </c>
      <c r="L7" s="13">
        <f>ROUND(((Table14[[#This Row],[success_raids]]*100)/Table14[[#This Row],[total_raids]])&amp;"%",3)</f>
        <v>0.42899999999999999</v>
      </c>
      <c r="M7">
        <v>20</v>
      </c>
      <c r="N7">
        <v>550</v>
      </c>
      <c r="O7">
        <v>219</v>
      </c>
      <c r="P7">
        <v>331</v>
      </c>
      <c r="Q7" s="13">
        <f>ROUND(((Table14[[#This Row],[success_tackles]]*100)/Table14[[#This Row],[total_tackles]]&amp;"%"),3)</f>
        <v>0.39800000000000002</v>
      </c>
      <c r="R7">
        <v>12</v>
      </c>
      <c r="S7">
        <v>14</v>
      </c>
      <c r="T7">
        <v>1</v>
      </c>
      <c r="U7">
        <v>0</v>
      </c>
    </row>
    <row r="8" spans="1:21" x14ac:dyDescent="0.25">
      <c r="A8" t="s">
        <v>43</v>
      </c>
      <c r="B8" t="s">
        <v>5</v>
      </c>
      <c r="C8">
        <v>19</v>
      </c>
      <c r="D8">
        <v>10</v>
      </c>
      <c r="E8">
        <v>8</v>
      </c>
      <c r="F8">
        <v>1</v>
      </c>
      <c r="G8">
        <v>794</v>
      </c>
      <c r="H8">
        <v>309</v>
      </c>
      <c r="I8">
        <v>21</v>
      </c>
      <c r="J8">
        <v>213</v>
      </c>
      <c r="K8">
        <v>272</v>
      </c>
      <c r="L8" s="13">
        <f>ROUND(((Table14[[#This Row],[success_raids]]*100)/Table14[[#This Row],[total_raids]])&amp;"%",3)</f>
        <v>0.38900000000000001</v>
      </c>
      <c r="M8">
        <v>8</v>
      </c>
      <c r="N8">
        <v>437</v>
      </c>
      <c r="O8">
        <v>167</v>
      </c>
      <c r="P8">
        <v>270</v>
      </c>
      <c r="Q8" s="13">
        <f>ROUND(((Table14[[#This Row],[success_tackles]]*100)/Table14[[#This Row],[total_tackles]]&amp;"%"),3)</f>
        <v>0.38200000000000001</v>
      </c>
      <c r="R8">
        <v>25</v>
      </c>
      <c r="S8">
        <v>3</v>
      </c>
      <c r="T8">
        <v>0</v>
      </c>
      <c r="U8">
        <v>0</v>
      </c>
    </row>
    <row r="9" spans="1:21" x14ac:dyDescent="0.25">
      <c r="A9" t="s">
        <v>50</v>
      </c>
      <c r="B9" t="s">
        <v>5</v>
      </c>
      <c r="C9">
        <v>125</v>
      </c>
      <c r="D9">
        <v>58</v>
      </c>
      <c r="E9">
        <v>59</v>
      </c>
      <c r="F9">
        <v>8</v>
      </c>
      <c r="G9">
        <v>5327</v>
      </c>
      <c r="H9">
        <v>1810</v>
      </c>
      <c r="I9">
        <v>152</v>
      </c>
      <c r="J9">
        <v>1245</v>
      </c>
      <c r="K9">
        <v>2272</v>
      </c>
      <c r="L9" s="13">
        <f>ROUND(((Table14[[#This Row],[success_raids]]*100)/Table14[[#This Row],[total_raids]])&amp;"%",3)</f>
        <v>0.34</v>
      </c>
      <c r="M9">
        <v>63</v>
      </c>
      <c r="N9">
        <v>2740</v>
      </c>
      <c r="O9">
        <v>1086</v>
      </c>
      <c r="P9">
        <v>1654</v>
      </c>
      <c r="Q9" s="13">
        <f>ROUND(((Table14[[#This Row],[success_tackles]]*100)/Table14[[#This Row],[total_tackles]]&amp;"%"),3)</f>
        <v>0.39600000000000002</v>
      </c>
      <c r="R9">
        <v>93</v>
      </c>
      <c r="S9">
        <v>65</v>
      </c>
      <c r="T9">
        <v>5</v>
      </c>
      <c r="U9">
        <v>2</v>
      </c>
    </row>
    <row r="10" spans="1:21" x14ac:dyDescent="0.25">
      <c r="A10" t="s">
        <v>49</v>
      </c>
      <c r="B10" t="s">
        <v>7</v>
      </c>
      <c r="C10">
        <v>14</v>
      </c>
      <c r="D10">
        <v>5</v>
      </c>
      <c r="E10">
        <v>8</v>
      </c>
      <c r="F10">
        <v>1</v>
      </c>
      <c r="G10">
        <v>559</v>
      </c>
      <c r="H10">
        <v>246</v>
      </c>
      <c r="I10">
        <v>18</v>
      </c>
      <c r="J10">
        <v>139</v>
      </c>
      <c r="K10">
        <v>174</v>
      </c>
      <c r="L10" s="13">
        <f>ROUND(((Table14[[#This Row],[success_raids]]*100)/Table14[[#This Row],[total_raids]])&amp;"%",3)</f>
        <v>0.44</v>
      </c>
      <c r="M10">
        <v>5</v>
      </c>
      <c r="N10">
        <v>370</v>
      </c>
      <c r="O10">
        <v>124</v>
      </c>
      <c r="P10">
        <v>246</v>
      </c>
      <c r="Q10" s="13">
        <f>ROUND(((Table14[[#This Row],[success_tackles]]*100)/Table14[[#This Row],[total_tackles]]&amp;"%"),3)</f>
        <v>0.33500000000000002</v>
      </c>
      <c r="R10">
        <v>10</v>
      </c>
      <c r="S10">
        <v>10</v>
      </c>
      <c r="T10">
        <v>0</v>
      </c>
      <c r="U10">
        <v>0</v>
      </c>
    </row>
    <row r="11" spans="1:21" x14ac:dyDescent="0.25">
      <c r="A11" t="s">
        <v>48</v>
      </c>
      <c r="B11" t="s">
        <v>7</v>
      </c>
      <c r="C11">
        <v>14</v>
      </c>
      <c r="D11">
        <v>4</v>
      </c>
      <c r="E11">
        <v>9</v>
      </c>
      <c r="F11">
        <v>1</v>
      </c>
      <c r="G11">
        <v>585</v>
      </c>
      <c r="H11">
        <v>159</v>
      </c>
      <c r="I11">
        <v>13</v>
      </c>
      <c r="J11">
        <v>151</v>
      </c>
      <c r="K11">
        <v>275</v>
      </c>
      <c r="L11" s="13">
        <f>ROUND(((Table14[[#This Row],[success_raids]]*100)/Table14[[#This Row],[total_raids]])&amp;"%",3)</f>
        <v>0.27200000000000002</v>
      </c>
      <c r="M11">
        <v>14</v>
      </c>
      <c r="N11">
        <v>333</v>
      </c>
      <c r="O11">
        <v>122</v>
      </c>
      <c r="P11">
        <v>211</v>
      </c>
      <c r="Q11" s="13">
        <f>ROUND(((Table14[[#This Row],[success_tackles]]*100)/Table14[[#This Row],[total_tackles]]&amp;"%"),3)</f>
        <v>0.36599999999999999</v>
      </c>
      <c r="R11">
        <v>14</v>
      </c>
      <c r="S11">
        <v>13</v>
      </c>
      <c r="T11">
        <v>0</v>
      </c>
      <c r="U11">
        <v>0</v>
      </c>
    </row>
    <row r="12" spans="1:21" x14ac:dyDescent="0.25">
      <c r="A12" t="s">
        <v>47</v>
      </c>
      <c r="B12" t="s">
        <v>7</v>
      </c>
      <c r="C12">
        <v>14</v>
      </c>
      <c r="D12">
        <v>1</v>
      </c>
      <c r="E12">
        <v>12</v>
      </c>
      <c r="F12">
        <v>1</v>
      </c>
      <c r="G12">
        <v>614</v>
      </c>
      <c r="H12">
        <v>171</v>
      </c>
      <c r="I12">
        <v>9</v>
      </c>
      <c r="J12">
        <v>162</v>
      </c>
      <c r="K12">
        <v>281</v>
      </c>
      <c r="L12" s="13">
        <f>ROUND(((Table14[[#This Row],[success_raids]]*100)/Table14[[#This Row],[total_raids]])&amp;"%",3)</f>
        <v>0.27900000000000003</v>
      </c>
      <c r="M12">
        <v>5</v>
      </c>
      <c r="N12">
        <v>346</v>
      </c>
      <c r="O12">
        <v>98</v>
      </c>
      <c r="P12">
        <v>248</v>
      </c>
      <c r="Q12" s="13">
        <f>ROUND(((Table14[[#This Row],[success_tackles]]*100)/Table14[[#This Row],[total_tackles]]&amp;"%"),3)</f>
        <v>0.28299999999999997</v>
      </c>
      <c r="R12">
        <v>13</v>
      </c>
      <c r="S12">
        <v>4</v>
      </c>
      <c r="T12">
        <v>1</v>
      </c>
      <c r="U12">
        <v>0</v>
      </c>
    </row>
    <row r="13" spans="1:21" x14ac:dyDescent="0.25">
      <c r="A13" t="s">
        <v>46</v>
      </c>
      <c r="B13" t="s">
        <v>7</v>
      </c>
      <c r="C13">
        <v>14</v>
      </c>
      <c r="D13">
        <v>4</v>
      </c>
      <c r="E13">
        <v>9</v>
      </c>
      <c r="F13">
        <v>1</v>
      </c>
      <c r="G13">
        <v>619</v>
      </c>
      <c r="H13">
        <v>162</v>
      </c>
      <c r="I13">
        <v>15</v>
      </c>
      <c r="J13">
        <v>120</v>
      </c>
      <c r="K13">
        <v>337</v>
      </c>
      <c r="L13" s="13">
        <f>ROUND(((Table14[[#This Row],[success_raids]]*100)/Table14[[#This Row],[total_raids]])&amp;"%",3)</f>
        <v>0.26200000000000001</v>
      </c>
      <c r="M13">
        <v>11</v>
      </c>
      <c r="N13">
        <v>306</v>
      </c>
      <c r="O13">
        <v>116</v>
      </c>
      <c r="P13">
        <v>190</v>
      </c>
      <c r="Q13" s="13">
        <f>ROUND(((Table14[[#This Row],[success_tackles]]*100)/Table14[[#This Row],[total_tackles]]&amp;"%"),3)</f>
        <v>0.379</v>
      </c>
      <c r="R13">
        <v>20</v>
      </c>
      <c r="S13">
        <v>2</v>
      </c>
      <c r="T13">
        <v>0</v>
      </c>
      <c r="U13">
        <v>0</v>
      </c>
    </row>
    <row r="14" spans="1:21" x14ac:dyDescent="0.25">
      <c r="A14" t="s">
        <v>45</v>
      </c>
      <c r="B14" t="s">
        <v>7</v>
      </c>
      <c r="C14">
        <v>22</v>
      </c>
      <c r="D14">
        <v>5</v>
      </c>
      <c r="E14">
        <v>16</v>
      </c>
      <c r="F14">
        <v>1</v>
      </c>
      <c r="G14">
        <v>973</v>
      </c>
      <c r="H14">
        <v>283</v>
      </c>
      <c r="I14">
        <v>18</v>
      </c>
      <c r="J14">
        <v>214</v>
      </c>
      <c r="K14">
        <v>476</v>
      </c>
      <c r="L14" s="13">
        <f>ROUND(((Table14[[#This Row],[success_raids]]*100)/Table14[[#This Row],[total_raids]])&amp;"%",3)</f>
        <v>0.29099999999999998</v>
      </c>
      <c r="M14">
        <v>6</v>
      </c>
      <c r="N14">
        <v>497</v>
      </c>
      <c r="O14">
        <v>159</v>
      </c>
      <c r="P14">
        <v>338</v>
      </c>
      <c r="Q14" s="13">
        <f>ROUND(((Table14[[#This Row],[success_tackles]]*100)/Table14[[#This Row],[total_tackles]]&amp;"%"),3)</f>
        <v>0.32</v>
      </c>
      <c r="R14">
        <v>12</v>
      </c>
      <c r="S14">
        <v>12</v>
      </c>
      <c r="T14">
        <v>0</v>
      </c>
      <c r="U14">
        <v>0</v>
      </c>
    </row>
    <row r="15" spans="1:21" x14ac:dyDescent="0.25">
      <c r="A15" t="s">
        <v>44</v>
      </c>
      <c r="B15" t="s">
        <v>7</v>
      </c>
      <c r="C15">
        <v>24</v>
      </c>
      <c r="D15">
        <v>12</v>
      </c>
      <c r="E15">
        <v>10</v>
      </c>
      <c r="F15">
        <v>2</v>
      </c>
      <c r="G15">
        <v>997</v>
      </c>
      <c r="H15">
        <v>401</v>
      </c>
      <c r="I15">
        <v>34</v>
      </c>
      <c r="J15">
        <v>224</v>
      </c>
      <c r="K15">
        <v>372</v>
      </c>
      <c r="L15" s="13">
        <f>ROUND(((Table14[[#This Row],[success_raids]]*100)/Table14[[#This Row],[total_raids]])&amp;"%",3)</f>
        <v>0.40200000000000002</v>
      </c>
      <c r="M15">
        <v>13</v>
      </c>
      <c r="N15">
        <v>559</v>
      </c>
      <c r="O15">
        <v>198</v>
      </c>
      <c r="P15">
        <v>361</v>
      </c>
      <c r="Q15" s="13">
        <f>ROUND(((Table14[[#This Row],[success_tackles]]*100)/Table14[[#This Row],[total_tackles]]&amp;"%"),3)</f>
        <v>0.35399999999999998</v>
      </c>
      <c r="R15">
        <v>19</v>
      </c>
      <c r="S15">
        <v>14</v>
      </c>
      <c r="T15">
        <v>0</v>
      </c>
      <c r="U15">
        <v>0</v>
      </c>
    </row>
    <row r="16" spans="1:21" x14ac:dyDescent="0.25">
      <c r="A16" t="s">
        <v>43</v>
      </c>
      <c r="B16" t="s">
        <v>7</v>
      </c>
      <c r="C16">
        <v>18</v>
      </c>
      <c r="D16">
        <v>14</v>
      </c>
      <c r="E16">
        <v>2</v>
      </c>
      <c r="F16">
        <v>2</v>
      </c>
      <c r="G16">
        <v>729</v>
      </c>
      <c r="H16">
        <v>312</v>
      </c>
      <c r="I16">
        <v>29</v>
      </c>
      <c r="J16">
        <v>143</v>
      </c>
      <c r="K16">
        <v>274</v>
      </c>
      <c r="L16" s="13">
        <f>ROUND(((Table14[[#This Row],[success_raids]]*100)/Table14[[#This Row],[total_raids]])&amp;"%",3)</f>
        <v>0.42799999999999999</v>
      </c>
      <c r="M16">
        <v>8</v>
      </c>
      <c r="N16">
        <v>422</v>
      </c>
      <c r="O16">
        <v>162</v>
      </c>
      <c r="P16">
        <v>260</v>
      </c>
      <c r="Q16" s="13">
        <f>ROUND(((Table14[[#This Row],[success_tackles]]*100)/Table14[[#This Row],[total_tackles]]&amp;"%"),3)</f>
        <v>0.38400000000000001</v>
      </c>
      <c r="R16">
        <v>8</v>
      </c>
      <c r="S16">
        <v>2</v>
      </c>
      <c r="T16">
        <v>0</v>
      </c>
      <c r="U16">
        <v>0</v>
      </c>
    </row>
    <row r="17" spans="1:21" x14ac:dyDescent="0.25">
      <c r="A17" t="s">
        <v>50</v>
      </c>
      <c r="B17" t="s">
        <v>7</v>
      </c>
      <c r="C17">
        <v>120</v>
      </c>
      <c r="D17">
        <v>45</v>
      </c>
      <c r="E17">
        <v>66</v>
      </c>
      <c r="F17">
        <v>9</v>
      </c>
      <c r="G17">
        <v>5076</v>
      </c>
      <c r="H17">
        <v>1734</v>
      </c>
      <c r="I17">
        <v>136</v>
      </c>
      <c r="J17">
        <v>1153</v>
      </c>
      <c r="K17">
        <v>2189</v>
      </c>
      <c r="L17" s="13">
        <f>ROUND(((Table14[[#This Row],[success_raids]]*100)/Table14[[#This Row],[total_raids]])&amp;"%",3)</f>
        <v>0.34200000000000003</v>
      </c>
      <c r="M17">
        <v>62</v>
      </c>
      <c r="N17">
        <v>2833</v>
      </c>
      <c r="O17">
        <v>979</v>
      </c>
      <c r="P17">
        <v>1854</v>
      </c>
      <c r="Q17" s="13">
        <f>ROUND(((Table14[[#This Row],[success_tackles]]*100)/Table14[[#This Row],[total_tackles]]&amp;"%"),3)</f>
        <v>0.34599999999999997</v>
      </c>
      <c r="R17">
        <v>96</v>
      </c>
      <c r="S17">
        <v>57</v>
      </c>
      <c r="T17">
        <v>1</v>
      </c>
      <c r="U17">
        <v>0</v>
      </c>
    </row>
    <row r="18" spans="1:21" x14ac:dyDescent="0.25">
      <c r="A18" t="s">
        <v>49</v>
      </c>
      <c r="B18" t="s">
        <v>2</v>
      </c>
      <c r="C18">
        <v>16</v>
      </c>
      <c r="D18">
        <v>12</v>
      </c>
      <c r="E18">
        <v>3</v>
      </c>
      <c r="F18">
        <v>1</v>
      </c>
      <c r="G18">
        <v>621</v>
      </c>
      <c r="H18">
        <v>270</v>
      </c>
      <c r="I18">
        <v>29</v>
      </c>
      <c r="J18">
        <v>125</v>
      </c>
      <c r="K18">
        <v>226</v>
      </c>
      <c r="L18" s="13">
        <f>ROUND(((Table14[[#This Row],[success_raids]]*100)/Table14[[#This Row],[total_raids]])&amp;"%",3)</f>
        <v>0.435</v>
      </c>
      <c r="M18">
        <v>9</v>
      </c>
      <c r="N18">
        <v>400</v>
      </c>
      <c r="O18">
        <v>158</v>
      </c>
      <c r="P18">
        <v>242</v>
      </c>
      <c r="Q18" s="13">
        <f>ROUND(((Table14[[#This Row],[success_tackles]]*100)/Table14[[#This Row],[total_tackles]]&amp;"%"),3)</f>
        <v>0.39500000000000002</v>
      </c>
      <c r="R18">
        <v>12</v>
      </c>
      <c r="S18">
        <v>5</v>
      </c>
      <c r="T18">
        <v>0</v>
      </c>
      <c r="U18">
        <v>0</v>
      </c>
    </row>
    <row r="19" spans="1:21" x14ac:dyDescent="0.25">
      <c r="A19" t="s">
        <v>48</v>
      </c>
      <c r="B19" t="s">
        <v>2</v>
      </c>
      <c r="C19">
        <v>14</v>
      </c>
      <c r="D19">
        <v>6</v>
      </c>
      <c r="E19">
        <v>7</v>
      </c>
      <c r="F19">
        <v>1</v>
      </c>
      <c r="G19">
        <v>599</v>
      </c>
      <c r="H19">
        <v>183</v>
      </c>
      <c r="I19">
        <v>17</v>
      </c>
      <c r="J19">
        <v>152</v>
      </c>
      <c r="K19">
        <v>264</v>
      </c>
      <c r="L19" s="13">
        <f>ROUND(((Table14[[#This Row],[success_raids]]*100)/Table14[[#This Row],[total_raids]])&amp;"%",3)</f>
        <v>0.30599999999999999</v>
      </c>
      <c r="M19">
        <v>5</v>
      </c>
      <c r="N19">
        <v>298</v>
      </c>
      <c r="O19">
        <v>124</v>
      </c>
      <c r="P19">
        <v>174</v>
      </c>
      <c r="Q19" s="13">
        <f>ROUND(((Table14[[#This Row],[success_tackles]]*100)/Table14[[#This Row],[total_tackles]]&amp;"%"),3)</f>
        <v>0.41599999999999998</v>
      </c>
      <c r="R19">
        <v>18</v>
      </c>
      <c r="S19">
        <v>12</v>
      </c>
      <c r="T19">
        <v>0</v>
      </c>
      <c r="U19">
        <v>0</v>
      </c>
    </row>
    <row r="20" spans="1:21" x14ac:dyDescent="0.25">
      <c r="A20" t="s">
        <v>47</v>
      </c>
      <c r="B20" t="s">
        <v>2</v>
      </c>
      <c r="C20">
        <v>14</v>
      </c>
      <c r="D20">
        <v>4</v>
      </c>
      <c r="E20">
        <v>8</v>
      </c>
      <c r="F20">
        <v>2</v>
      </c>
      <c r="G20">
        <v>593</v>
      </c>
      <c r="H20">
        <v>149</v>
      </c>
      <c r="I20">
        <v>11</v>
      </c>
      <c r="J20">
        <v>152</v>
      </c>
      <c r="K20">
        <v>292</v>
      </c>
      <c r="L20" s="13">
        <f>ROUND(((Table14[[#This Row],[success_raids]]*100)/Table14[[#This Row],[total_raids]])&amp;"%",3)</f>
        <v>0.251</v>
      </c>
      <c r="M20">
        <v>8</v>
      </c>
      <c r="N20">
        <v>274</v>
      </c>
      <c r="O20">
        <v>101</v>
      </c>
      <c r="P20">
        <v>173</v>
      </c>
      <c r="Q20" s="13">
        <f>ROUND(((Table14[[#This Row],[success_tackles]]*100)/Table14[[#This Row],[total_tackles]]&amp;"%"),3)</f>
        <v>0.36899999999999999</v>
      </c>
      <c r="R20">
        <v>16</v>
      </c>
      <c r="S20">
        <v>2</v>
      </c>
      <c r="T20">
        <v>1</v>
      </c>
      <c r="U20">
        <v>0</v>
      </c>
    </row>
    <row r="21" spans="1:21" x14ac:dyDescent="0.25">
      <c r="A21" t="s">
        <v>46</v>
      </c>
      <c r="B21" t="s">
        <v>2</v>
      </c>
      <c r="C21">
        <v>16</v>
      </c>
      <c r="D21">
        <v>9</v>
      </c>
      <c r="E21">
        <v>6</v>
      </c>
      <c r="F21">
        <v>1</v>
      </c>
      <c r="G21">
        <v>666</v>
      </c>
      <c r="H21">
        <v>203</v>
      </c>
      <c r="I21">
        <v>17</v>
      </c>
      <c r="J21">
        <v>139</v>
      </c>
      <c r="K21">
        <v>324</v>
      </c>
      <c r="L21" s="13">
        <f>ROUND(((Table14[[#This Row],[success_raids]]*100)/Table14[[#This Row],[total_raids]])&amp;"%",3)</f>
        <v>0.30499999999999999</v>
      </c>
      <c r="M21">
        <v>6</v>
      </c>
      <c r="N21">
        <v>319</v>
      </c>
      <c r="O21">
        <v>119</v>
      </c>
      <c r="P21">
        <v>200</v>
      </c>
      <c r="Q21" s="13">
        <f>ROUND(((Table14[[#This Row],[success_tackles]]*100)/Table14[[#This Row],[total_tackles]]&amp;"%"),3)</f>
        <v>0.373</v>
      </c>
      <c r="R21">
        <v>17</v>
      </c>
      <c r="S21">
        <v>8</v>
      </c>
      <c r="T21">
        <v>2</v>
      </c>
      <c r="U21">
        <v>0</v>
      </c>
    </row>
    <row r="22" spans="1:21" x14ac:dyDescent="0.25">
      <c r="A22" t="s">
        <v>45</v>
      </c>
      <c r="B22" t="s">
        <v>2</v>
      </c>
      <c r="C22">
        <v>22</v>
      </c>
      <c r="D22">
        <v>8</v>
      </c>
      <c r="E22">
        <v>13</v>
      </c>
      <c r="F22">
        <v>1</v>
      </c>
      <c r="G22">
        <v>962</v>
      </c>
      <c r="H22">
        <v>288</v>
      </c>
      <c r="I22">
        <v>22</v>
      </c>
      <c r="J22">
        <v>236</v>
      </c>
      <c r="K22">
        <v>438</v>
      </c>
      <c r="L22" s="13">
        <f>ROUND(((Table14[[#This Row],[success_raids]]*100)/Table14[[#This Row],[total_raids]])&amp;"%",3)</f>
        <v>0.29899999999999999</v>
      </c>
      <c r="M22">
        <v>13</v>
      </c>
      <c r="N22">
        <v>459</v>
      </c>
      <c r="O22">
        <v>162</v>
      </c>
      <c r="P22">
        <v>297</v>
      </c>
      <c r="Q22" s="13">
        <f>ROUND(((Table14[[#This Row],[success_tackles]]*100)/Table14[[#This Row],[total_tackles]]&amp;"%"),3)</f>
        <v>0.35299999999999998</v>
      </c>
      <c r="R22">
        <v>10</v>
      </c>
      <c r="S22">
        <v>21</v>
      </c>
      <c r="T22">
        <v>1</v>
      </c>
      <c r="U22">
        <v>0</v>
      </c>
    </row>
    <row r="23" spans="1:21" x14ac:dyDescent="0.25">
      <c r="A23" t="s">
        <v>44</v>
      </c>
      <c r="B23" t="s">
        <v>2</v>
      </c>
      <c r="C23">
        <v>22</v>
      </c>
      <c r="D23">
        <v>6</v>
      </c>
      <c r="E23">
        <v>13</v>
      </c>
      <c r="F23">
        <v>3</v>
      </c>
      <c r="G23">
        <v>949</v>
      </c>
      <c r="H23">
        <v>334</v>
      </c>
      <c r="I23">
        <v>22</v>
      </c>
      <c r="J23">
        <v>220</v>
      </c>
      <c r="K23">
        <v>395</v>
      </c>
      <c r="L23" s="13">
        <f>ROUND(((Table14[[#This Row],[success_raids]]*100)/Table14[[#This Row],[total_raids]])&amp;"%",3)</f>
        <v>0.35199999999999998</v>
      </c>
      <c r="M23">
        <v>13</v>
      </c>
      <c r="N23">
        <v>551</v>
      </c>
      <c r="O23">
        <v>202</v>
      </c>
      <c r="P23">
        <v>349</v>
      </c>
      <c r="Q23" s="13">
        <f>ROUND(((Table14[[#This Row],[success_tackles]]*100)/Table14[[#This Row],[total_tackles]]&amp;"%"),3)</f>
        <v>0.36699999999999999</v>
      </c>
      <c r="R23">
        <v>25</v>
      </c>
      <c r="S23">
        <v>13</v>
      </c>
      <c r="T23">
        <v>0</v>
      </c>
      <c r="U23">
        <v>0</v>
      </c>
    </row>
    <row r="24" spans="1:21" x14ac:dyDescent="0.25">
      <c r="A24" t="s">
        <v>43</v>
      </c>
      <c r="B24" t="s">
        <v>2</v>
      </c>
      <c r="C24">
        <v>20</v>
      </c>
      <c r="D24">
        <v>8</v>
      </c>
      <c r="E24">
        <v>10</v>
      </c>
      <c r="F24">
        <v>2</v>
      </c>
      <c r="G24">
        <v>836</v>
      </c>
      <c r="H24">
        <v>261</v>
      </c>
      <c r="I24">
        <v>19</v>
      </c>
      <c r="J24">
        <v>205</v>
      </c>
      <c r="K24">
        <v>370</v>
      </c>
      <c r="L24" s="13">
        <f>ROUND(((Table14[[#This Row],[success_raids]]*100)/Table14[[#This Row],[total_raids]])&amp;"%",3)</f>
        <v>0.312</v>
      </c>
      <c r="M24">
        <v>7</v>
      </c>
      <c r="N24">
        <v>483</v>
      </c>
      <c r="O24">
        <v>189</v>
      </c>
      <c r="P24">
        <v>294</v>
      </c>
      <c r="Q24" s="13">
        <f>ROUND(((Table14[[#This Row],[success_tackles]]*100)/Table14[[#This Row],[total_tackles]]&amp;"%"),3)</f>
        <v>0.39100000000000001</v>
      </c>
      <c r="R24">
        <v>32</v>
      </c>
      <c r="S24">
        <v>6</v>
      </c>
      <c r="T24">
        <v>0</v>
      </c>
      <c r="U24">
        <v>0</v>
      </c>
    </row>
    <row r="25" spans="1:21" x14ac:dyDescent="0.25">
      <c r="A25" t="s">
        <v>50</v>
      </c>
      <c r="B25" t="s">
        <v>2</v>
      </c>
      <c r="C25">
        <v>124</v>
      </c>
      <c r="D25">
        <v>53</v>
      </c>
      <c r="E25">
        <v>60</v>
      </c>
      <c r="F25">
        <v>11</v>
      </c>
      <c r="G25">
        <v>5226</v>
      </c>
      <c r="H25">
        <v>1688</v>
      </c>
      <c r="I25">
        <v>137</v>
      </c>
      <c r="J25">
        <v>1229</v>
      </c>
      <c r="K25">
        <v>2309</v>
      </c>
      <c r="L25" s="13">
        <f>ROUND(((Table14[[#This Row],[success_raids]]*100)/Table14[[#This Row],[total_raids]])&amp;"%",3)</f>
        <v>0.32300000000000001</v>
      </c>
      <c r="M25">
        <v>61</v>
      </c>
      <c r="N25">
        <v>2784</v>
      </c>
      <c r="O25">
        <v>1055</v>
      </c>
      <c r="P25">
        <v>1729</v>
      </c>
      <c r="Q25" s="13">
        <f>ROUND(((Table14[[#This Row],[success_tackles]]*100)/Table14[[#This Row],[total_tackles]]&amp;"%"),3)</f>
        <v>0.379</v>
      </c>
      <c r="R25">
        <v>130</v>
      </c>
      <c r="S25">
        <v>67</v>
      </c>
      <c r="T25">
        <v>4</v>
      </c>
      <c r="U25">
        <v>0</v>
      </c>
    </row>
    <row r="26" spans="1:21" x14ac:dyDescent="0.25">
      <c r="A26" t="s">
        <v>49</v>
      </c>
      <c r="B26" t="s">
        <v>8</v>
      </c>
      <c r="C26">
        <v>14</v>
      </c>
      <c r="D26">
        <v>4</v>
      </c>
      <c r="E26">
        <v>9</v>
      </c>
      <c r="F26">
        <v>1</v>
      </c>
      <c r="G26">
        <v>546</v>
      </c>
      <c r="H26">
        <v>213</v>
      </c>
      <c r="I26">
        <v>11</v>
      </c>
      <c r="J26">
        <v>146</v>
      </c>
      <c r="K26">
        <v>187</v>
      </c>
      <c r="L26" s="13">
        <f>ROUND(((Table14[[#This Row],[success_raids]]*100)/Table14[[#This Row],[total_raids]])&amp;"%",3)</f>
        <v>0.39</v>
      </c>
      <c r="M26">
        <v>11</v>
      </c>
      <c r="N26">
        <v>381</v>
      </c>
      <c r="O26">
        <v>106</v>
      </c>
      <c r="P26">
        <v>275</v>
      </c>
      <c r="Q26" s="13">
        <f>ROUND(((Table14[[#This Row],[success_tackles]]*100)/Table14[[#This Row],[total_tackles]]&amp;"%"),3)</f>
        <v>0.27800000000000002</v>
      </c>
      <c r="R26">
        <v>16</v>
      </c>
      <c r="S26">
        <v>5</v>
      </c>
      <c r="T26">
        <v>0</v>
      </c>
      <c r="U26">
        <v>0</v>
      </c>
    </row>
    <row r="27" spans="1:21" x14ac:dyDescent="0.25">
      <c r="A27" t="s">
        <v>48</v>
      </c>
      <c r="B27" t="s">
        <v>8</v>
      </c>
      <c r="C27">
        <v>14</v>
      </c>
      <c r="D27">
        <v>4</v>
      </c>
      <c r="E27">
        <v>9</v>
      </c>
      <c r="F27">
        <v>1</v>
      </c>
      <c r="G27">
        <v>595</v>
      </c>
      <c r="H27">
        <v>134</v>
      </c>
      <c r="I27">
        <v>10</v>
      </c>
      <c r="J27">
        <v>151</v>
      </c>
      <c r="K27">
        <v>310</v>
      </c>
      <c r="L27" s="13">
        <f>ROUND(((Table14[[#This Row],[success_raids]]*100)/Table14[[#This Row],[total_raids]])&amp;"%",3)</f>
        <v>0.22500000000000001</v>
      </c>
      <c r="M27">
        <v>9</v>
      </c>
      <c r="N27">
        <v>306</v>
      </c>
      <c r="O27">
        <v>116</v>
      </c>
      <c r="P27">
        <v>190</v>
      </c>
      <c r="Q27" s="13">
        <f>ROUND(((Table14[[#This Row],[success_tackles]]*100)/Table14[[#This Row],[total_tackles]]&amp;"%"),3)</f>
        <v>0.379</v>
      </c>
      <c r="R27">
        <v>21</v>
      </c>
      <c r="S27">
        <v>9</v>
      </c>
      <c r="T27">
        <v>0</v>
      </c>
      <c r="U27">
        <v>0</v>
      </c>
    </row>
    <row r="28" spans="1:21" x14ac:dyDescent="0.25">
      <c r="A28" t="s">
        <v>47</v>
      </c>
      <c r="B28" t="s">
        <v>8</v>
      </c>
      <c r="C28">
        <v>16</v>
      </c>
      <c r="D28">
        <v>9</v>
      </c>
      <c r="E28">
        <v>7</v>
      </c>
      <c r="F28">
        <v>0</v>
      </c>
      <c r="G28">
        <v>702</v>
      </c>
      <c r="H28">
        <v>213</v>
      </c>
      <c r="I28">
        <v>17</v>
      </c>
      <c r="J28">
        <v>144</v>
      </c>
      <c r="K28">
        <v>345</v>
      </c>
      <c r="L28" s="13">
        <f>ROUND(((Table14[[#This Row],[success_raids]]*100)/Table14[[#This Row],[total_raids]])&amp;"%",3)</f>
        <v>0.30299999999999999</v>
      </c>
      <c r="M28">
        <v>4</v>
      </c>
      <c r="N28">
        <v>329</v>
      </c>
      <c r="O28">
        <v>137</v>
      </c>
      <c r="P28">
        <v>192</v>
      </c>
      <c r="Q28" s="13">
        <f>ROUND(((Table14[[#This Row],[success_tackles]]*100)/Table14[[#This Row],[total_tackles]]&amp;"%"),3)</f>
        <v>0.41599999999999998</v>
      </c>
      <c r="R28">
        <v>13</v>
      </c>
      <c r="S28">
        <v>7</v>
      </c>
      <c r="T28">
        <v>0</v>
      </c>
      <c r="U28">
        <v>0</v>
      </c>
    </row>
    <row r="29" spans="1:21" x14ac:dyDescent="0.25">
      <c r="A29" t="s">
        <v>46</v>
      </c>
      <c r="B29" t="s">
        <v>8</v>
      </c>
      <c r="C29">
        <v>14</v>
      </c>
      <c r="D29">
        <v>3</v>
      </c>
      <c r="E29">
        <v>9</v>
      </c>
      <c r="F29">
        <v>2</v>
      </c>
      <c r="G29">
        <v>602</v>
      </c>
      <c r="H29">
        <v>167</v>
      </c>
      <c r="I29">
        <v>11</v>
      </c>
      <c r="J29">
        <v>125</v>
      </c>
      <c r="K29">
        <v>310</v>
      </c>
      <c r="L29" s="13">
        <f>ROUND(((Table14[[#This Row],[success_raids]]*100)/Table14[[#This Row],[total_raids]])&amp;"%",3)</f>
        <v>0.27700000000000002</v>
      </c>
      <c r="M29">
        <v>4</v>
      </c>
      <c r="N29">
        <v>318</v>
      </c>
      <c r="O29">
        <v>117</v>
      </c>
      <c r="P29">
        <v>201</v>
      </c>
      <c r="Q29" s="13">
        <f>ROUND(((Table14[[#This Row],[success_tackles]]*100)/Table14[[#This Row],[total_tackles]]&amp;"%"),3)</f>
        <v>0.36799999999999999</v>
      </c>
      <c r="R29">
        <v>8</v>
      </c>
      <c r="S29">
        <v>2</v>
      </c>
      <c r="T29">
        <v>0</v>
      </c>
      <c r="U29">
        <v>0</v>
      </c>
    </row>
    <row r="30" spans="1:21" x14ac:dyDescent="0.25">
      <c r="A30" t="s">
        <v>45</v>
      </c>
      <c r="B30" t="s">
        <v>8</v>
      </c>
      <c r="C30">
        <v>24</v>
      </c>
      <c r="D30">
        <v>11</v>
      </c>
      <c r="E30">
        <v>7</v>
      </c>
      <c r="F30">
        <v>6</v>
      </c>
      <c r="G30">
        <v>1079</v>
      </c>
      <c r="H30">
        <v>379</v>
      </c>
      <c r="I30">
        <v>27</v>
      </c>
      <c r="J30">
        <v>223</v>
      </c>
      <c r="K30">
        <v>477</v>
      </c>
      <c r="L30" s="13">
        <f>ROUND(((Table14[[#This Row],[success_raids]]*100)/Table14[[#This Row],[total_raids]])&amp;"%",3)</f>
        <v>0.35099999999999998</v>
      </c>
      <c r="M30">
        <v>11</v>
      </c>
      <c r="N30">
        <v>521</v>
      </c>
      <c r="O30">
        <v>181</v>
      </c>
      <c r="P30">
        <v>340</v>
      </c>
      <c r="Q30" s="13">
        <f>ROUND(((Table14[[#This Row],[success_tackles]]*100)/Table14[[#This Row],[total_tackles]]&amp;"%"),3)</f>
        <v>0.34699999999999998</v>
      </c>
      <c r="R30">
        <v>12</v>
      </c>
      <c r="S30">
        <v>13</v>
      </c>
      <c r="T30">
        <v>1</v>
      </c>
      <c r="U30">
        <v>0</v>
      </c>
    </row>
    <row r="31" spans="1:21" x14ac:dyDescent="0.25">
      <c r="A31" t="s">
        <v>44</v>
      </c>
      <c r="B31" t="s">
        <v>8</v>
      </c>
      <c r="C31">
        <v>23</v>
      </c>
      <c r="D31">
        <v>12</v>
      </c>
      <c r="E31">
        <v>9</v>
      </c>
      <c r="F31">
        <v>2</v>
      </c>
      <c r="G31">
        <v>963</v>
      </c>
      <c r="H31">
        <v>340</v>
      </c>
      <c r="I31">
        <v>23</v>
      </c>
      <c r="J31">
        <v>201</v>
      </c>
      <c r="K31">
        <v>422</v>
      </c>
      <c r="L31" s="13">
        <f>ROUND(((Table14[[#This Row],[success_raids]]*100)/Table14[[#This Row],[total_raids]])&amp;"%",3)</f>
        <v>0.35299999999999998</v>
      </c>
      <c r="M31">
        <v>16</v>
      </c>
      <c r="N31">
        <v>508</v>
      </c>
      <c r="O31">
        <v>186</v>
      </c>
      <c r="P31">
        <v>322</v>
      </c>
      <c r="Q31" s="13">
        <f>ROUND(((Table14[[#This Row],[success_tackles]]*100)/Table14[[#This Row],[total_tackles]]&amp;"%"),3)</f>
        <v>0.36599999999999999</v>
      </c>
      <c r="R31">
        <v>16</v>
      </c>
      <c r="S31">
        <v>12</v>
      </c>
      <c r="T31">
        <v>0</v>
      </c>
      <c r="U31">
        <v>0</v>
      </c>
    </row>
    <row r="32" spans="1:21" x14ac:dyDescent="0.25">
      <c r="A32" t="s">
        <v>43</v>
      </c>
      <c r="B32" t="s">
        <v>8</v>
      </c>
      <c r="C32">
        <v>19</v>
      </c>
      <c r="D32">
        <v>12</v>
      </c>
      <c r="E32">
        <v>4</v>
      </c>
      <c r="F32">
        <v>3</v>
      </c>
      <c r="G32">
        <v>782</v>
      </c>
      <c r="H32">
        <v>318</v>
      </c>
      <c r="I32">
        <v>31</v>
      </c>
      <c r="J32">
        <v>153</v>
      </c>
      <c r="K32">
        <v>311</v>
      </c>
      <c r="L32" s="13">
        <f>ROUND(((Table14[[#This Row],[success_raids]]*100)/Table14[[#This Row],[total_raids]])&amp;"%",3)</f>
        <v>0.40699999999999997</v>
      </c>
      <c r="M32">
        <v>15</v>
      </c>
      <c r="N32">
        <v>449</v>
      </c>
      <c r="O32">
        <v>174</v>
      </c>
      <c r="P32">
        <v>275</v>
      </c>
      <c r="Q32" s="13">
        <f>ROUND(((Table14[[#This Row],[success_tackles]]*100)/Table14[[#This Row],[total_tackles]]&amp;"%"),3)</f>
        <v>0.38800000000000001</v>
      </c>
      <c r="R32">
        <v>12</v>
      </c>
      <c r="S32">
        <v>2</v>
      </c>
      <c r="T32">
        <v>0</v>
      </c>
      <c r="U32">
        <v>0</v>
      </c>
    </row>
    <row r="33" spans="1:21" x14ac:dyDescent="0.25">
      <c r="A33" t="s">
        <v>50</v>
      </c>
      <c r="B33" t="s">
        <v>8</v>
      </c>
      <c r="C33">
        <v>124</v>
      </c>
      <c r="D33">
        <v>55</v>
      </c>
      <c r="E33">
        <v>54</v>
      </c>
      <c r="F33">
        <v>15</v>
      </c>
      <c r="G33">
        <v>5269</v>
      </c>
      <c r="H33">
        <v>1764</v>
      </c>
      <c r="I33">
        <v>130</v>
      </c>
      <c r="J33">
        <v>1143</v>
      </c>
      <c r="K33">
        <v>2362</v>
      </c>
      <c r="L33" s="13">
        <f>ROUND(((Table14[[#This Row],[success_raids]]*100)/Table14[[#This Row],[total_raids]])&amp;"%",3)</f>
        <v>0.33500000000000002</v>
      </c>
      <c r="M33">
        <v>70</v>
      </c>
      <c r="N33">
        <v>2812</v>
      </c>
      <c r="O33">
        <v>1017</v>
      </c>
      <c r="P33">
        <v>1795</v>
      </c>
      <c r="Q33" s="13">
        <f>ROUND(((Table14[[#This Row],[success_tackles]]*100)/Table14[[#This Row],[total_tackles]]&amp;"%"),3)</f>
        <v>0.36199999999999999</v>
      </c>
      <c r="R33">
        <v>98</v>
      </c>
      <c r="S33">
        <v>50</v>
      </c>
      <c r="T33">
        <v>1</v>
      </c>
      <c r="U33">
        <v>0</v>
      </c>
    </row>
    <row r="34" spans="1:21" x14ac:dyDescent="0.25">
      <c r="A34" t="s">
        <v>49</v>
      </c>
      <c r="B34" t="s">
        <v>3</v>
      </c>
      <c r="C34">
        <v>16</v>
      </c>
      <c r="D34">
        <v>9</v>
      </c>
      <c r="E34">
        <v>4</v>
      </c>
      <c r="F34">
        <v>3</v>
      </c>
      <c r="G34">
        <v>624</v>
      </c>
      <c r="H34">
        <v>270</v>
      </c>
      <c r="I34">
        <v>21</v>
      </c>
      <c r="J34">
        <v>134</v>
      </c>
      <c r="K34">
        <v>220</v>
      </c>
      <c r="L34" s="13">
        <f>ROUND(((Table14[[#This Row],[success_raids]]*100)/Table14[[#This Row],[total_raids]])&amp;"%",3)</f>
        <v>0.433</v>
      </c>
      <c r="M34">
        <v>12</v>
      </c>
      <c r="N34">
        <v>409</v>
      </c>
      <c r="O34">
        <v>145</v>
      </c>
      <c r="P34">
        <v>264</v>
      </c>
      <c r="Q34" s="13">
        <f>ROUND(((Table14[[#This Row],[success_tackles]]*100)/Table14[[#This Row],[total_tackles]]&amp;"%"),3)</f>
        <v>0.35499999999999998</v>
      </c>
      <c r="R34">
        <v>12</v>
      </c>
      <c r="S34">
        <v>3</v>
      </c>
      <c r="T34">
        <v>0</v>
      </c>
      <c r="U34">
        <v>0</v>
      </c>
    </row>
    <row r="35" spans="1:21" x14ac:dyDescent="0.25">
      <c r="A35" t="s">
        <v>48</v>
      </c>
      <c r="B35" t="s">
        <v>3</v>
      </c>
      <c r="C35">
        <v>16</v>
      </c>
      <c r="D35">
        <v>14</v>
      </c>
      <c r="E35">
        <v>2</v>
      </c>
      <c r="F35">
        <v>0</v>
      </c>
      <c r="G35">
        <v>697</v>
      </c>
      <c r="H35">
        <v>187</v>
      </c>
      <c r="I35">
        <v>20</v>
      </c>
      <c r="J35">
        <v>154</v>
      </c>
      <c r="K35">
        <v>356</v>
      </c>
      <c r="L35" s="13">
        <f>ROUND(((Table14[[#This Row],[success_raids]]*100)/Table14[[#This Row],[total_raids]])&amp;"%",3)</f>
        <v>0.26800000000000002</v>
      </c>
      <c r="M35">
        <v>7</v>
      </c>
      <c r="N35">
        <v>364</v>
      </c>
      <c r="O35">
        <v>180</v>
      </c>
      <c r="P35">
        <v>184</v>
      </c>
      <c r="Q35" s="13">
        <f>ROUND(((Table14[[#This Row],[success_tackles]]*100)/Table14[[#This Row],[total_tackles]]&amp;"%"),3)</f>
        <v>0.495</v>
      </c>
      <c r="R35">
        <v>16</v>
      </c>
      <c r="S35">
        <v>23</v>
      </c>
      <c r="T35">
        <v>0</v>
      </c>
      <c r="U35">
        <v>0</v>
      </c>
    </row>
    <row r="36" spans="1:21" x14ac:dyDescent="0.25">
      <c r="A36" t="s">
        <v>47</v>
      </c>
      <c r="B36" t="s">
        <v>3</v>
      </c>
      <c r="C36">
        <v>16</v>
      </c>
      <c r="D36">
        <v>13</v>
      </c>
      <c r="E36">
        <v>3</v>
      </c>
      <c r="F36">
        <v>0</v>
      </c>
      <c r="G36">
        <v>685</v>
      </c>
      <c r="H36">
        <v>206</v>
      </c>
      <c r="I36">
        <v>27</v>
      </c>
      <c r="J36">
        <v>139</v>
      </c>
      <c r="K36">
        <v>340</v>
      </c>
      <c r="L36" s="13">
        <f>ROUND(((Table14[[#This Row],[success_raids]]*100)/Table14[[#This Row],[total_raids]])&amp;"%",3)</f>
        <v>0.30099999999999999</v>
      </c>
      <c r="M36">
        <v>7</v>
      </c>
      <c r="N36">
        <v>329</v>
      </c>
      <c r="O36">
        <v>163</v>
      </c>
      <c r="P36">
        <v>166</v>
      </c>
      <c r="Q36" s="13">
        <f>ROUND(((Table14[[#This Row],[success_tackles]]*100)/Table14[[#This Row],[total_tackles]]&amp;"%"),3)</f>
        <v>0.495</v>
      </c>
      <c r="R36">
        <v>6</v>
      </c>
      <c r="S36">
        <v>6</v>
      </c>
      <c r="T36">
        <v>4</v>
      </c>
      <c r="U36">
        <v>0</v>
      </c>
    </row>
    <row r="37" spans="1:21" x14ac:dyDescent="0.25">
      <c r="A37" t="s">
        <v>46</v>
      </c>
      <c r="B37" t="s">
        <v>3</v>
      </c>
      <c r="C37">
        <v>14</v>
      </c>
      <c r="D37">
        <v>7</v>
      </c>
      <c r="E37">
        <v>6</v>
      </c>
      <c r="F37">
        <v>1</v>
      </c>
      <c r="G37">
        <v>594</v>
      </c>
      <c r="H37">
        <v>188</v>
      </c>
      <c r="I37">
        <v>15</v>
      </c>
      <c r="J37">
        <v>131</v>
      </c>
      <c r="K37">
        <v>275</v>
      </c>
      <c r="L37" s="13">
        <f>ROUND(((Table14[[#This Row],[success_raids]]*100)/Table14[[#This Row],[total_raids]])&amp;"%",3)</f>
        <v>0.316</v>
      </c>
      <c r="M37">
        <v>4</v>
      </c>
      <c r="N37">
        <v>293</v>
      </c>
      <c r="O37">
        <v>110</v>
      </c>
      <c r="P37">
        <v>183</v>
      </c>
      <c r="Q37" s="13">
        <f>ROUND(((Table14[[#This Row],[success_tackles]]*100)/Table14[[#This Row],[total_tackles]]&amp;"%"),3)</f>
        <v>0.375</v>
      </c>
      <c r="R37">
        <v>11</v>
      </c>
      <c r="S37">
        <v>5</v>
      </c>
      <c r="T37">
        <v>1</v>
      </c>
      <c r="U37">
        <v>0</v>
      </c>
    </row>
    <row r="38" spans="1:21" x14ac:dyDescent="0.25">
      <c r="A38" t="s">
        <v>45</v>
      </c>
      <c r="B38" t="s">
        <v>3</v>
      </c>
      <c r="C38">
        <v>22</v>
      </c>
      <c r="D38">
        <v>10</v>
      </c>
      <c r="E38">
        <v>12</v>
      </c>
      <c r="F38">
        <v>0</v>
      </c>
      <c r="G38">
        <v>963</v>
      </c>
      <c r="H38">
        <v>322</v>
      </c>
      <c r="I38">
        <v>21</v>
      </c>
      <c r="J38">
        <v>219</v>
      </c>
      <c r="K38">
        <v>422</v>
      </c>
      <c r="L38" s="13">
        <f>ROUND(((Table14[[#This Row],[success_raids]]*100)/Table14[[#This Row],[total_raids]])&amp;"%",3)</f>
        <v>0.33400000000000002</v>
      </c>
      <c r="M38">
        <v>10</v>
      </c>
      <c r="N38">
        <v>539</v>
      </c>
      <c r="O38">
        <v>176</v>
      </c>
      <c r="P38">
        <v>363</v>
      </c>
      <c r="Q38" s="13">
        <f>ROUND(((Table14[[#This Row],[success_tackles]]*100)/Table14[[#This Row],[total_tackles]]&amp;"%"),3)</f>
        <v>0.32700000000000001</v>
      </c>
      <c r="R38">
        <v>26</v>
      </c>
      <c r="S38">
        <v>13</v>
      </c>
      <c r="T38">
        <v>1</v>
      </c>
      <c r="U38">
        <v>0</v>
      </c>
    </row>
    <row r="39" spans="1:21" x14ac:dyDescent="0.25">
      <c r="A39" t="s">
        <v>44</v>
      </c>
      <c r="B39" t="s">
        <v>3</v>
      </c>
      <c r="C39">
        <v>23</v>
      </c>
      <c r="D39">
        <v>15</v>
      </c>
      <c r="E39">
        <v>6</v>
      </c>
      <c r="F39">
        <v>2</v>
      </c>
      <c r="G39">
        <v>978</v>
      </c>
      <c r="H39">
        <v>372</v>
      </c>
      <c r="I39">
        <v>41</v>
      </c>
      <c r="J39">
        <v>196</v>
      </c>
      <c r="K39">
        <v>410</v>
      </c>
      <c r="L39" s="13">
        <f>ROUND(((Table14[[#This Row],[success_raids]]*100)/Table14[[#This Row],[total_raids]])&amp;"%",3)</f>
        <v>0.38</v>
      </c>
      <c r="M39">
        <v>15</v>
      </c>
      <c r="N39">
        <v>558</v>
      </c>
      <c r="O39">
        <v>274</v>
      </c>
      <c r="P39">
        <v>284</v>
      </c>
      <c r="Q39" s="13">
        <f>ROUND(((Table14[[#This Row],[success_tackles]]*100)/Table14[[#This Row],[total_tackles]]&amp;"%"),3)</f>
        <v>0.49099999999999999</v>
      </c>
      <c r="R39">
        <v>15</v>
      </c>
      <c r="S39">
        <v>20</v>
      </c>
      <c r="T39">
        <v>0</v>
      </c>
      <c r="U39">
        <v>0</v>
      </c>
    </row>
    <row r="40" spans="1:21" x14ac:dyDescent="0.25">
      <c r="A40" t="s">
        <v>43</v>
      </c>
      <c r="B40" t="s">
        <v>3</v>
      </c>
      <c r="C40">
        <v>18</v>
      </c>
      <c r="D40">
        <v>9</v>
      </c>
      <c r="E40">
        <v>8</v>
      </c>
      <c r="F40">
        <v>1</v>
      </c>
      <c r="G40">
        <v>729</v>
      </c>
      <c r="H40">
        <v>238</v>
      </c>
      <c r="I40">
        <v>25</v>
      </c>
      <c r="J40">
        <v>166</v>
      </c>
      <c r="K40">
        <v>325</v>
      </c>
      <c r="L40" s="13">
        <f>ROUND(((Table14[[#This Row],[success_raids]]*100)/Table14[[#This Row],[total_raids]])&amp;"%",3)</f>
        <v>0.32600000000000001</v>
      </c>
      <c r="M40">
        <v>7</v>
      </c>
      <c r="N40">
        <v>377</v>
      </c>
      <c r="O40">
        <v>161</v>
      </c>
      <c r="P40">
        <v>216</v>
      </c>
      <c r="Q40" s="13">
        <f>ROUND(((Table14[[#This Row],[success_tackles]]*100)/Table14[[#This Row],[total_tackles]]&amp;"%"),3)</f>
        <v>0.42699999999999999</v>
      </c>
      <c r="R40">
        <v>16</v>
      </c>
      <c r="S40">
        <v>8</v>
      </c>
      <c r="T40">
        <v>0</v>
      </c>
      <c r="U40">
        <v>0</v>
      </c>
    </row>
    <row r="41" spans="1:21" x14ac:dyDescent="0.25">
      <c r="A41" t="s">
        <v>50</v>
      </c>
      <c r="B41" t="s">
        <v>3</v>
      </c>
      <c r="C41">
        <v>125</v>
      </c>
      <c r="D41">
        <v>77</v>
      </c>
      <c r="E41">
        <v>41</v>
      </c>
      <c r="F41">
        <v>7</v>
      </c>
      <c r="G41">
        <v>5270</v>
      </c>
      <c r="H41">
        <v>1783</v>
      </c>
      <c r="I41">
        <v>170</v>
      </c>
      <c r="J41">
        <v>1139</v>
      </c>
      <c r="K41">
        <v>2348</v>
      </c>
      <c r="L41" s="13">
        <f>ROUND(((Table14[[#This Row],[success_raids]]*100)/Table14[[#This Row],[total_raids]])&amp;"%",3)</f>
        <v>0.33800000000000002</v>
      </c>
      <c r="M41">
        <v>62</v>
      </c>
      <c r="N41">
        <v>2870</v>
      </c>
      <c r="O41">
        <v>1210</v>
      </c>
      <c r="P41">
        <v>1660</v>
      </c>
      <c r="Q41" s="13">
        <f>ROUND(((Table14[[#This Row],[success_tackles]]*100)/Table14[[#This Row],[total_tackles]]&amp;"%"),3)</f>
        <v>0.42199999999999999</v>
      </c>
      <c r="R41">
        <v>102</v>
      </c>
      <c r="S41">
        <v>78</v>
      </c>
      <c r="T41">
        <v>6</v>
      </c>
      <c r="U41">
        <v>0</v>
      </c>
    </row>
    <row r="42" spans="1:21" x14ac:dyDescent="0.25">
      <c r="A42" t="s">
        <v>49</v>
      </c>
      <c r="B42" t="s">
        <v>4</v>
      </c>
      <c r="C42">
        <v>16</v>
      </c>
      <c r="D42">
        <v>8</v>
      </c>
      <c r="E42">
        <v>6</v>
      </c>
      <c r="F42">
        <v>2</v>
      </c>
      <c r="G42">
        <v>638</v>
      </c>
      <c r="H42">
        <v>253</v>
      </c>
      <c r="I42">
        <v>18</v>
      </c>
      <c r="J42">
        <v>134</v>
      </c>
      <c r="K42">
        <v>251</v>
      </c>
      <c r="L42" s="13">
        <f>ROUND(((Table14[[#This Row],[success_raids]]*100)/Table14[[#This Row],[total_raids]])&amp;"%",3)</f>
        <v>0.39700000000000002</v>
      </c>
      <c r="M42">
        <v>13</v>
      </c>
      <c r="N42">
        <v>380</v>
      </c>
      <c r="O42">
        <v>124</v>
      </c>
      <c r="P42">
        <v>256</v>
      </c>
      <c r="Q42" s="13">
        <f>ROUND(((Table14[[#This Row],[success_tackles]]*100)/Table14[[#This Row],[total_tackles]]&amp;"%"),3)</f>
        <v>0.32600000000000001</v>
      </c>
      <c r="R42">
        <v>18</v>
      </c>
      <c r="S42">
        <v>8</v>
      </c>
      <c r="T42">
        <v>0</v>
      </c>
      <c r="U42">
        <v>0</v>
      </c>
    </row>
    <row r="43" spans="1:21" x14ac:dyDescent="0.25">
      <c r="A43" t="s">
        <v>48</v>
      </c>
      <c r="B43" t="s">
        <v>4</v>
      </c>
      <c r="C43">
        <v>16</v>
      </c>
      <c r="D43">
        <v>7</v>
      </c>
      <c r="E43">
        <v>8</v>
      </c>
      <c r="F43">
        <v>1</v>
      </c>
      <c r="G43">
        <v>701</v>
      </c>
      <c r="H43">
        <v>182</v>
      </c>
      <c r="I43">
        <v>13</v>
      </c>
      <c r="J43">
        <v>159</v>
      </c>
      <c r="K43">
        <v>360</v>
      </c>
      <c r="L43" s="13">
        <f>ROUND(((Table14[[#This Row],[success_raids]]*100)/Table14[[#This Row],[total_raids]])&amp;"%",3)</f>
        <v>0.26</v>
      </c>
      <c r="M43">
        <v>4</v>
      </c>
      <c r="N43">
        <v>376</v>
      </c>
      <c r="O43">
        <v>152</v>
      </c>
      <c r="P43">
        <v>224</v>
      </c>
      <c r="Q43" s="13">
        <f>ROUND(((Table14[[#This Row],[success_tackles]]*100)/Table14[[#This Row],[total_tackles]]&amp;"%"),3)</f>
        <v>0.40400000000000003</v>
      </c>
      <c r="R43">
        <v>13</v>
      </c>
      <c r="S43">
        <v>10</v>
      </c>
      <c r="T43">
        <v>1</v>
      </c>
      <c r="U43">
        <v>0</v>
      </c>
    </row>
    <row r="44" spans="1:21" x14ac:dyDescent="0.25">
      <c r="A44" t="s">
        <v>47</v>
      </c>
      <c r="B44" t="s">
        <v>4</v>
      </c>
      <c r="C44">
        <v>16</v>
      </c>
      <c r="D44">
        <v>12</v>
      </c>
      <c r="E44">
        <v>2</v>
      </c>
      <c r="F44">
        <v>2</v>
      </c>
      <c r="G44">
        <v>703</v>
      </c>
      <c r="H44">
        <v>241</v>
      </c>
      <c r="I44">
        <v>30</v>
      </c>
      <c r="J44">
        <v>129</v>
      </c>
      <c r="K44">
        <v>333</v>
      </c>
      <c r="L44" s="13">
        <f>ROUND(((Table14[[#This Row],[success_raids]]*100)/Table14[[#This Row],[total_raids]])&amp;"%",3)</f>
        <v>0.34300000000000003</v>
      </c>
      <c r="M44">
        <v>16</v>
      </c>
      <c r="N44">
        <v>405</v>
      </c>
      <c r="O44">
        <v>175</v>
      </c>
      <c r="P44">
        <v>230</v>
      </c>
      <c r="Q44" s="13">
        <f>ROUND(((Table14[[#This Row],[success_tackles]]*100)/Table14[[#This Row],[total_tackles]]&amp;"%"),3)</f>
        <v>0.432</v>
      </c>
      <c r="R44">
        <v>7</v>
      </c>
      <c r="S44">
        <v>4</v>
      </c>
      <c r="T44">
        <v>2</v>
      </c>
      <c r="U44">
        <v>0</v>
      </c>
    </row>
    <row r="45" spans="1:21" x14ac:dyDescent="0.25">
      <c r="A45" t="s">
        <v>46</v>
      </c>
      <c r="B45" t="s">
        <v>4</v>
      </c>
      <c r="C45">
        <v>16</v>
      </c>
      <c r="D45">
        <v>12</v>
      </c>
      <c r="E45">
        <v>4</v>
      </c>
      <c r="F45">
        <v>0</v>
      </c>
      <c r="G45">
        <v>692</v>
      </c>
      <c r="H45">
        <v>206</v>
      </c>
      <c r="I45">
        <v>19</v>
      </c>
      <c r="J45">
        <v>152</v>
      </c>
      <c r="K45">
        <v>334</v>
      </c>
      <c r="L45" s="13">
        <f>ROUND(((Table14[[#This Row],[success_raids]]*100)/Table14[[#This Row],[total_raids]])&amp;"%",3)</f>
        <v>0.29799999999999999</v>
      </c>
      <c r="M45">
        <v>7</v>
      </c>
      <c r="N45">
        <v>332</v>
      </c>
      <c r="O45">
        <v>145</v>
      </c>
      <c r="P45">
        <v>187</v>
      </c>
      <c r="Q45" s="13">
        <f>ROUND(((Table14[[#This Row],[success_tackles]]*100)/Table14[[#This Row],[total_tackles]]&amp;"%"),3)</f>
        <v>0.437</v>
      </c>
      <c r="R45">
        <v>27</v>
      </c>
      <c r="S45">
        <v>7</v>
      </c>
      <c r="T45">
        <v>1</v>
      </c>
      <c r="U45">
        <v>0</v>
      </c>
    </row>
    <row r="46" spans="1:21" x14ac:dyDescent="0.25">
      <c r="A46" t="s">
        <v>45</v>
      </c>
      <c r="B46" t="s">
        <v>4</v>
      </c>
      <c r="C46">
        <v>26</v>
      </c>
      <c r="D46">
        <v>14</v>
      </c>
      <c r="E46">
        <v>7</v>
      </c>
      <c r="F46">
        <v>5</v>
      </c>
      <c r="G46">
        <v>1173</v>
      </c>
      <c r="H46">
        <v>487</v>
      </c>
      <c r="I46">
        <v>55</v>
      </c>
      <c r="J46">
        <v>238</v>
      </c>
      <c r="K46">
        <v>448</v>
      </c>
      <c r="L46" s="13">
        <f>ROUND(((Table14[[#This Row],[success_raids]]*100)/Table14[[#This Row],[total_raids]])&amp;"%",3)</f>
        <v>0.41499999999999998</v>
      </c>
      <c r="M46">
        <v>26</v>
      </c>
      <c r="N46">
        <v>625</v>
      </c>
      <c r="O46">
        <v>226</v>
      </c>
      <c r="P46">
        <v>399</v>
      </c>
      <c r="Q46" s="13">
        <f>ROUND(((Table14[[#This Row],[success_tackles]]*100)/Table14[[#This Row],[total_tackles]]&amp;"%"),3)</f>
        <v>0.36199999999999999</v>
      </c>
      <c r="R46">
        <v>27</v>
      </c>
      <c r="S46">
        <v>10</v>
      </c>
      <c r="T46">
        <v>2</v>
      </c>
      <c r="U46">
        <v>0</v>
      </c>
    </row>
    <row r="47" spans="1:21" x14ac:dyDescent="0.25">
      <c r="A47" t="s">
        <v>44</v>
      </c>
      <c r="B47" t="s">
        <v>4</v>
      </c>
      <c r="C47">
        <v>22</v>
      </c>
      <c r="D47">
        <v>9</v>
      </c>
      <c r="E47">
        <v>11</v>
      </c>
      <c r="F47">
        <v>2</v>
      </c>
      <c r="G47">
        <v>934</v>
      </c>
      <c r="H47">
        <v>406</v>
      </c>
      <c r="I47">
        <v>30</v>
      </c>
      <c r="J47">
        <v>226</v>
      </c>
      <c r="K47">
        <v>302</v>
      </c>
      <c r="L47" s="13">
        <f>ROUND(((Table14[[#This Row],[success_raids]]*100)/Table14[[#This Row],[total_raids]])&amp;"%",3)</f>
        <v>0.435</v>
      </c>
      <c r="M47">
        <v>11</v>
      </c>
      <c r="N47">
        <v>555</v>
      </c>
      <c r="O47">
        <v>186</v>
      </c>
      <c r="P47">
        <v>369</v>
      </c>
      <c r="Q47" s="13">
        <f>ROUND(((Table14[[#This Row],[success_tackles]]*100)/Table14[[#This Row],[total_tackles]]&amp;"%"),3)</f>
        <v>0.33500000000000002</v>
      </c>
      <c r="R47">
        <v>16</v>
      </c>
      <c r="S47">
        <v>11</v>
      </c>
      <c r="T47">
        <v>0</v>
      </c>
      <c r="U47">
        <v>0</v>
      </c>
    </row>
    <row r="48" spans="1:21" x14ac:dyDescent="0.25">
      <c r="A48" t="s">
        <v>43</v>
      </c>
      <c r="B48" t="s">
        <v>4</v>
      </c>
      <c r="C48">
        <v>19</v>
      </c>
      <c r="D48">
        <v>6</v>
      </c>
      <c r="E48">
        <v>12</v>
      </c>
      <c r="F48">
        <v>1</v>
      </c>
      <c r="G48">
        <v>802</v>
      </c>
      <c r="H48">
        <v>291</v>
      </c>
      <c r="I48">
        <v>28</v>
      </c>
      <c r="J48">
        <v>184</v>
      </c>
      <c r="K48">
        <v>327</v>
      </c>
      <c r="L48" s="13">
        <f>ROUND(((Table14[[#This Row],[success_raids]]*100)/Table14[[#This Row],[total_raids]])&amp;"%",3)</f>
        <v>0.36299999999999999</v>
      </c>
      <c r="M48">
        <v>13</v>
      </c>
      <c r="N48">
        <v>448</v>
      </c>
      <c r="O48">
        <v>168</v>
      </c>
      <c r="P48">
        <v>280</v>
      </c>
      <c r="Q48" s="13">
        <f>ROUND(((Table14[[#This Row],[success_tackles]]*100)/Table14[[#This Row],[total_tackles]]&amp;"%"),3)</f>
        <v>0.375</v>
      </c>
      <c r="R48">
        <v>23</v>
      </c>
      <c r="S48">
        <v>11</v>
      </c>
      <c r="T48">
        <v>0</v>
      </c>
      <c r="U48">
        <v>0</v>
      </c>
    </row>
    <row r="49" spans="1:21" x14ac:dyDescent="0.25">
      <c r="A49" t="s">
        <v>50</v>
      </c>
      <c r="B49" t="s">
        <v>4</v>
      </c>
      <c r="C49">
        <v>131</v>
      </c>
      <c r="D49">
        <v>68</v>
      </c>
      <c r="E49">
        <v>50</v>
      </c>
      <c r="F49">
        <v>13</v>
      </c>
      <c r="G49">
        <v>5643</v>
      </c>
      <c r="H49">
        <v>2066</v>
      </c>
      <c r="I49">
        <v>193</v>
      </c>
      <c r="J49">
        <v>1222</v>
      </c>
      <c r="K49">
        <v>2355</v>
      </c>
      <c r="L49" s="13">
        <f>ROUND(((Table14[[#This Row],[success_raids]]*100)/Table14[[#This Row],[total_raids]])&amp;"%",3)</f>
        <v>0.36599999999999999</v>
      </c>
      <c r="M49">
        <v>90</v>
      </c>
      <c r="N49">
        <v>3121</v>
      </c>
      <c r="O49">
        <v>1176</v>
      </c>
      <c r="P49">
        <v>1945</v>
      </c>
      <c r="Q49" s="13">
        <f>ROUND(((Table14[[#This Row],[success_tackles]]*100)/Table14[[#This Row],[total_tackles]]&amp;"%"),3)</f>
        <v>0.377</v>
      </c>
      <c r="R49">
        <v>131</v>
      </c>
      <c r="S49">
        <v>61</v>
      </c>
      <c r="T49">
        <v>6</v>
      </c>
      <c r="U49">
        <v>0</v>
      </c>
    </row>
    <row r="50" spans="1:21" x14ac:dyDescent="0.25">
      <c r="A50" t="s">
        <v>49</v>
      </c>
      <c r="B50" t="s">
        <v>9</v>
      </c>
      <c r="C50">
        <v>14</v>
      </c>
      <c r="D50">
        <v>2</v>
      </c>
      <c r="E50">
        <v>12</v>
      </c>
      <c r="F50">
        <v>0</v>
      </c>
      <c r="G50">
        <v>552</v>
      </c>
      <c r="H50">
        <v>204</v>
      </c>
      <c r="I50">
        <v>12</v>
      </c>
      <c r="J50">
        <v>148</v>
      </c>
      <c r="K50">
        <v>200</v>
      </c>
      <c r="L50" s="13">
        <f>ROUND(((Table14[[#This Row],[success_raids]]*100)/Table14[[#This Row],[total_raids]])&amp;"%",3)</f>
        <v>0.37</v>
      </c>
      <c r="M50">
        <v>11</v>
      </c>
      <c r="N50">
        <v>368</v>
      </c>
      <c r="O50">
        <v>93</v>
      </c>
      <c r="P50">
        <v>275</v>
      </c>
      <c r="Q50" s="13">
        <f>ROUND(((Table14[[#This Row],[success_tackles]]*100)/Table14[[#This Row],[total_tackles]]&amp;"%"),3)</f>
        <v>0.253</v>
      </c>
      <c r="R50">
        <v>14</v>
      </c>
      <c r="S50">
        <v>3</v>
      </c>
      <c r="T50">
        <v>1</v>
      </c>
      <c r="U50">
        <v>1</v>
      </c>
    </row>
    <row r="51" spans="1:21" x14ac:dyDescent="0.25">
      <c r="A51" t="s">
        <v>48</v>
      </c>
      <c r="B51" t="s">
        <v>9</v>
      </c>
      <c r="C51">
        <v>14</v>
      </c>
      <c r="D51">
        <v>2</v>
      </c>
      <c r="E51">
        <v>11</v>
      </c>
      <c r="F51">
        <v>1</v>
      </c>
      <c r="G51">
        <v>600</v>
      </c>
      <c r="H51">
        <v>170</v>
      </c>
      <c r="I51">
        <v>12</v>
      </c>
      <c r="J51">
        <v>151</v>
      </c>
      <c r="K51">
        <v>279</v>
      </c>
      <c r="L51" s="13">
        <f>ROUND(((Table14[[#This Row],[success_raids]]*100)/Table14[[#This Row],[total_raids]])&amp;"%",3)</f>
        <v>0.28299999999999997</v>
      </c>
      <c r="M51">
        <v>8</v>
      </c>
      <c r="N51">
        <v>307</v>
      </c>
      <c r="O51">
        <v>104</v>
      </c>
      <c r="P51">
        <v>203</v>
      </c>
      <c r="Q51" s="13">
        <f>ROUND(((Table14[[#This Row],[success_tackles]]*100)/Table14[[#This Row],[total_tackles]]&amp;"%"),3)</f>
        <v>0.33900000000000002</v>
      </c>
      <c r="R51">
        <v>11</v>
      </c>
      <c r="S51">
        <v>10</v>
      </c>
      <c r="T51">
        <v>1</v>
      </c>
      <c r="U51">
        <v>0</v>
      </c>
    </row>
    <row r="52" spans="1:21" x14ac:dyDescent="0.25">
      <c r="A52" t="s">
        <v>47</v>
      </c>
      <c r="B52" t="s">
        <v>9</v>
      </c>
      <c r="C52">
        <v>16</v>
      </c>
      <c r="D52">
        <v>8</v>
      </c>
      <c r="E52">
        <v>5</v>
      </c>
      <c r="F52">
        <v>3</v>
      </c>
      <c r="G52">
        <v>698</v>
      </c>
      <c r="H52">
        <v>203</v>
      </c>
      <c r="I52">
        <v>25</v>
      </c>
      <c r="J52">
        <v>133</v>
      </c>
      <c r="K52">
        <v>362</v>
      </c>
      <c r="L52" s="13">
        <f>ROUND(((Table14[[#This Row],[success_raids]]*100)/Table14[[#This Row],[total_raids]])&amp;"%",3)</f>
        <v>0.29099999999999998</v>
      </c>
      <c r="M52">
        <v>9</v>
      </c>
      <c r="N52">
        <v>371</v>
      </c>
      <c r="O52">
        <v>174</v>
      </c>
      <c r="P52">
        <v>197</v>
      </c>
      <c r="Q52" s="13">
        <f>ROUND(((Table14[[#This Row],[success_tackles]]*100)/Table14[[#This Row],[total_tackles]]&amp;"%"),3)</f>
        <v>0.46899999999999997</v>
      </c>
      <c r="R52">
        <v>13</v>
      </c>
      <c r="S52">
        <v>5</v>
      </c>
      <c r="T52">
        <v>3</v>
      </c>
      <c r="U52">
        <v>0</v>
      </c>
    </row>
    <row r="53" spans="1:21" x14ac:dyDescent="0.25">
      <c r="A53" t="s">
        <v>46</v>
      </c>
      <c r="B53" t="s">
        <v>9</v>
      </c>
      <c r="C53">
        <v>16</v>
      </c>
      <c r="D53">
        <v>7</v>
      </c>
      <c r="E53">
        <v>7</v>
      </c>
      <c r="F53">
        <v>2</v>
      </c>
      <c r="G53">
        <v>716</v>
      </c>
      <c r="H53">
        <v>230</v>
      </c>
      <c r="I53">
        <v>21</v>
      </c>
      <c r="J53">
        <v>151</v>
      </c>
      <c r="K53">
        <v>335</v>
      </c>
      <c r="L53" s="13">
        <f>ROUND(((Table14[[#This Row],[success_raids]]*100)/Table14[[#This Row],[total_raids]])&amp;"%",3)</f>
        <v>0.32100000000000001</v>
      </c>
      <c r="M53">
        <v>10</v>
      </c>
      <c r="N53">
        <v>345</v>
      </c>
      <c r="O53">
        <v>140</v>
      </c>
      <c r="P53">
        <v>205</v>
      </c>
      <c r="Q53" s="13">
        <f>ROUND(((Table14[[#This Row],[success_tackles]]*100)/Table14[[#This Row],[total_tackles]]&amp;"%"),3)</f>
        <v>0.40600000000000003</v>
      </c>
      <c r="R53">
        <v>7</v>
      </c>
      <c r="S53">
        <v>7</v>
      </c>
      <c r="T53">
        <v>3</v>
      </c>
      <c r="U53">
        <v>0</v>
      </c>
    </row>
    <row r="54" spans="1:21" x14ac:dyDescent="0.25">
      <c r="A54" t="s">
        <v>45</v>
      </c>
      <c r="B54" t="s">
        <v>9</v>
      </c>
      <c r="C54">
        <v>24</v>
      </c>
      <c r="D54">
        <v>16</v>
      </c>
      <c r="E54">
        <v>8</v>
      </c>
      <c r="F54">
        <v>0</v>
      </c>
      <c r="G54">
        <v>1042</v>
      </c>
      <c r="H54">
        <v>304</v>
      </c>
      <c r="I54">
        <v>32</v>
      </c>
      <c r="J54">
        <v>223</v>
      </c>
      <c r="K54">
        <v>515</v>
      </c>
      <c r="L54" s="13">
        <f>ROUND(((Table14[[#This Row],[success_raids]]*100)/Table14[[#This Row],[total_raids]])&amp;"%",3)</f>
        <v>0.29199999999999998</v>
      </c>
      <c r="M54">
        <v>12</v>
      </c>
      <c r="N54">
        <v>547</v>
      </c>
      <c r="O54">
        <v>252</v>
      </c>
      <c r="P54">
        <v>295</v>
      </c>
      <c r="Q54" s="13">
        <f>ROUND(((Table14[[#This Row],[success_tackles]]*100)/Table14[[#This Row],[total_tackles]]&amp;"%"),3)</f>
        <v>0.46100000000000002</v>
      </c>
      <c r="R54">
        <v>21</v>
      </c>
      <c r="S54">
        <v>14</v>
      </c>
      <c r="T54">
        <v>2</v>
      </c>
      <c r="U54">
        <v>0</v>
      </c>
    </row>
    <row r="55" spans="1:21" x14ac:dyDescent="0.25">
      <c r="A55" t="s">
        <v>44</v>
      </c>
      <c r="B55" t="s">
        <v>9</v>
      </c>
      <c r="C55">
        <v>22</v>
      </c>
      <c r="D55">
        <v>8</v>
      </c>
      <c r="E55">
        <v>12</v>
      </c>
      <c r="F55">
        <v>2</v>
      </c>
      <c r="G55">
        <v>940</v>
      </c>
      <c r="H55">
        <v>286</v>
      </c>
      <c r="I55">
        <v>14</v>
      </c>
      <c r="J55">
        <v>228</v>
      </c>
      <c r="K55">
        <v>426</v>
      </c>
      <c r="L55" s="13">
        <f>ROUND(((Table14[[#This Row],[success_raids]]*100)/Table14[[#This Row],[total_raids]])&amp;"%",3)</f>
        <v>0.30399999999999999</v>
      </c>
      <c r="M55">
        <v>7</v>
      </c>
      <c r="N55">
        <v>502</v>
      </c>
      <c r="O55">
        <v>189</v>
      </c>
      <c r="P55">
        <v>313</v>
      </c>
      <c r="Q55" s="13">
        <f>ROUND(((Table14[[#This Row],[success_tackles]]*100)/Table14[[#This Row],[total_tackles]]&amp;"%"),3)</f>
        <v>0.376</v>
      </c>
      <c r="R55">
        <v>34</v>
      </c>
      <c r="S55">
        <v>14</v>
      </c>
      <c r="T55">
        <v>1</v>
      </c>
      <c r="U55">
        <v>0</v>
      </c>
    </row>
    <row r="56" spans="1:21" x14ac:dyDescent="0.25">
      <c r="A56" t="s">
        <v>43</v>
      </c>
      <c r="B56" t="s">
        <v>9</v>
      </c>
      <c r="C56">
        <v>19</v>
      </c>
      <c r="D56">
        <v>6</v>
      </c>
      <c r="E56">
        <v>10</v>
      </c>
      <c r="F56">
        <v>3</v>
      </c>
      <c r="G56">
        <v>789</v>
      </c>
      <c r="H56">
        <v>272</v>
      </c>
      <c r="I56">
        <v>18</v>
      </c>
      <c r="J56">
        <v>200</v>
      </c>
      <c r="K56">
        <v>317</v>
      </c>
      <c r="L56" s="13">
        <f>ROUND(((Table14[[#This Row],[success_raids]]*100)/Table14[[#This Row],[total_raids]])&amp;"%",3)</f>
        <v>0.34499999999999997</v>
      </c>
      <c r="M56">
        <v>6</v>
      </c>
      <c r="N56">
        <v>512</v>
      </c>
      <c r="O56">
        <v>197</v>
      </c>
      <c r="P56">
        <v>315</v>
      </c>
      <c r="Q56" s="13">
        <f>ROUND(((Table14[[#This Row],[success_tackles]]*100)/Table14[[#This Row],[total_tackles]]&amp;"%"),3)</f>
        <v>0.38500000000000001</v>
      </c>
      <c r="R56">
        <v>22</v>
      </c>
      <c r="S56">
        <v>3</v>
      </c>
      <c r="T56">
        <v>0</v>
      </c>
      <c r="U56">
        <v>0</v>
      </c>
    </row>
    <row r="57" spans="1:21" x14ac:dyDescent="0.25">
      <c r="A57" t="s">
        <v>50</v>
      </c>
      <c r="B57" t="s">
        <v>9</v>
      </c>
      <c r="C57">
        <v>125</v>
      </c>
      <c r="D57">
        <v>49</v>
      </c>
      <c r="E57">
        <v>65</v>
      </c>
      <c r="F57">
        <v>11</v>
      </c>
      <c r="G57">
        <v>5337</v>
      </c>
      <c r="H57">
        <v>1669</v>
      </c>
      <c r="I57">
        <v>134</v>
      </c>
      <c r="J57">
        <v>1234</v>
      </c>
      <c r="K57">
        <v>2434</v>
      </c>
      <c r="L57" s="13">
        <f>ROUND(((Table14[[#This Row],[success_raids]]*100)/Table14[[#This Row],[total_raids]])&amp;"%",3)</f>
        <v>0.313</v>
      </c>
      <c r="M57">
        <v>63</v>
      </c>
      <c r="N57">
        <v>2952</v>
      </c>
      <c r="O57">
        <v>1149</v>
      </c>
      <c r="P57">
        <v>1803</v>
      </c>
      <c r="Q57" s="13">
        <f>ROUND(((Table14[[#This Row],[success_tackles]]*100)/Table14[[#This Row],[total_tackles]]&amp;"%"),3)</f>
        <v>0.38900000000000001</v>
      </c>
      <c r="R57">
        <v>122</v>
      </c>
      <c r="S57">
        <v>56</v>
      </c>
      <c r="T57">
        <v>11</v>
      </c>
      <c r="U57">
        <v>1</v>
      </c>
    </row>
    <row r="58" spans="1:21" x14ac:dyDescent="0.25">
      <c r="A58" t="s">
        <v>49</v>
      </c>
      <c r="B58" t="s">
        <v>6</v>
      </c>
      <c r="C58">
        <v>14</v>
      </c>
      <c r="D58">
        <v>6</v>
      </c>
      <c r="E58">
        <v>5</v>
      </c>
      <c r="F58">
        <v>3</v>
      </c>
      <c r="G58">
        <v>569</v>
      </c>
      <c r="H58">
        <v>272</v>
      </c>
      <c r="I58">
        <v>25</v>
      </c>
      <c r="J58">
        <v>116</v>
      </c>
      <c r="K58">
        <v>181</v>
      </c>
      <c r="L58" s="13">
        <f>ROUND(((Table14[[#This Row],[success_raids]]*100)/Table14[[#This Row],[total_raids]])&amp;"%",3)</f>
        <v>0.47799999999999998</v>
      </c>
      <c r="M58">
        <v>8</v>
      </c>
      <c r="N58">
        <v>333</v>
      </c>
      <c r="O58">
        <v>96</v>
      </c>
      <c r="P58">
        <v>237</v>
      </c>
      <c r="Q58" s="13">
        <f>ROUND(((Table14[[#This Row],[success_tackles]]*100)/Table14[[#This Row],[total_tackles]]&amp;"%"),3)</f>
        <v>0.28799999999999998</v>
      </c>
      <c r="R58">
        <v>8</v>
      </c>
      <c r="S58">
        <v>7</v>
      </c>
      <c r="T58">
        <v>0</v>
      </c>
      <c r="U58">
        <v>0</v>
      </c>
    </row>
    <row r="59" spans="1:21" x14ac:dyDescent="0.25">
      <c r="A59" t="s">
        <v>48</v>
      </c>
      <c r="B59" t="s">
        <v>6</v>
      </c>
      <c r="C59">
        <v>16</v>
      </c>
      <c r="D59">
        <v>9</v>
      </c>
      <c r="E59">
        <v>4</v>
      </c>
      <c r="F59">
        <v>3</v>
      </c>
      <c r="G59">
        <v>707</v>
      </c>
      <c r="H59">
        <v>265</v>
      </c>
      <c r="I59">
        <v>26</v>
      </c>
      <c r="J59">
        <v>143</v>
      </c>
      <c r="K59">
        <v>299</v>
      </c>
      <c r="L59" s="13">
        <f>ROUND(((Table14[[#This Row],[success_raids]]*100)/Table14[[#This Row],[total_raids]])&amp;"%",3)</f>
        <v>0.375</v>
      </c>
      <c r="M59">
        <v>16</v>
      </c>
      <c r="N59">
        <v>399</v>
      </c>
      <c r="O59">
        <v>158</v>
      </c>
      <c r="P59">
        <v>241</v>
      </c>
      <c r="Q59" s="13">
        <f>ROUND(((Table14[[#This Row],[success_tackles]]*100)/Table14[[#This Row],[total_tackles]]&amp;"%"),3)</f>
        <v>0.39600000000000002</v>
      </c>
      <c r="R59">
        <v>16</v>
      </c>
      <c r="S59">
        <v>8</v>
      </c>
      <c r="T59">
        <v>0</v>
      </c>
      <c r="U59">
        <v>0</v>
      </c>
    </row>
    <row r="60" spans="1:21" x14ac:dyDescent="0.25">
      <c r="A60" t="s">
        <v>47</v>
      </c>
      <c r="B60" t="s">
        <v>6</v>
      </c>
      <c r="C60">
        <v>14</v>
      </c>
      <c r="D60">
        <v>7</v>
      </c>
      <c r="E60">
        <v>7</v>
      </c>
      <c r="F60">
        <v>0</v>
      </c>
      <c r="G60">
        <v>609</v>
      </c>
      <c r="H60">
        <v>206</v>
      </c>
      <c r="I60">
        <v>13</v>
      </c>
      <c r="J60">
        <v>133</v>
      </c>
      <c r="K60">
        <v>270</v>
      </c>
      <c r="L60" s="13">
        <f>ROUND(((Table14[[#This Row],[success_raids]]*100)/Table14[[#This Row],[total_raids]])&amp;"%",3)</f>
        <v>0.33800000000000002</v>
      </c>
      <c r="M60">
        <v>3</v>
      </c>
      <c r="N60">
        <v>304</v>
      </c>
      <c r="O60">
        <v>101</v>
      </c>
      <c r="P60">
        <v>203</v>
      </c>
      <c r="Q60" s="13">
        <f>ROUND(((Table14[[#This Row],[success_tackles]]*100)/Table14[[#This Row],[total_tackles]]&amp;"%"),3)</f>
        <v>0.33200000000000002</v>
      </c>
      <c r="R60">
        <v>15</v>
      </c>
      <c r="S60">
        <v>2</v>
      </c>
      <c r="T60">
        <v>1</v>
      </c>
      <c r="U60">
        <v>0</v>
      </c>
    </row>
    <row r="61" spans="1:21" x14ac:dyDescent="0.25">
      <c r="A61" t="s">
        <v>46</v>
      </c>
      <c r="B61" t="s">
        <v>6</v>
      </c>
      <c r="C61">
        <v>16</v>
      </c>
      <c r="D61">
        <v>8</v>
      </c>
      <c r="E61">
        <v>6</v>
      </c>
      <c r="F61">
        <v>2</v>
      </c>
      <c r="G61">
        <v>687</v>
      </c>
      <c r="H61">
        <v>206</v>
      </c>
      <c r="I61">
        <v>22</v>
      </c>
      <c r="J61">
        <v>133</v>
      </c>
      <c r="K61">
        <v>348</v>
      </c>
      <c r="L61" s="13">
        <f>ROUND(((Table14[[#This Row],[success_raids]]*100)/Table14[[#This Row],[total_raids]])&amp;"%",3)</f>
        <v>0.3</v>
      </c>
      <c r="M61">
        <v>7</v>
      </c>
      <c r="N61">
        <v>364</v>
      </c>
      <c r="O61">
        <v>157</v>
      </c>
      <c r="P61">
        <v>207</v>
      </c>
      <c r="Q61" s="13">
        <f>ROUND(((Table14[[#This Row],[success_tackles]]*100)/Table14[[#This Row],[total_tackles]]&amp;"%"),3)</f>
        <v>0.43099999999999999</v>
      </c>
      <c r="R61">
        <v>5</v>
      </c>
      <c r="S61">
        <v>4</v>
      </c>
      <c r="T61">
        <v>2</v>
      </c>
      <c r="U61">
        <v>0</v>
      </c>
    </row>
    <row r="62" spans="1:21" x14ac:dyDescent="0.25">
      <c r="A62" t="s">
        <v>45</v>
      </c>
      <c r="B62" t="s">
        <v>6</v>
      </c>
      <c r="C62">
        <v>22</v>
      </c>
      <c r="D62">
        <v>7</v>
      </c>
      <c r="E62">
        <v>12</v>
      </c>
      <c r="F62">
        <v>3</v>
      </c>
      <c r="G62">
        <v>971</v>
      </c>
      <c r="H62">
        <v>332</v>
      </c>
      <c r="I62">
        <v>25</v>
      </c>
      <c r="J62">
        <v>197</v>
      </c>
      <c r="K62">
        <v>442</v>
      </c>
      <c r="L62" s="13">
        <f>ROUND(((Table14[[#This Row],[success_raids]]*100)/Table14[[#This Row],[total_raids]])&amp;"%",3)</f>
        <v>0.34200000000000003</v>
      </c>
      <c r="M62">
        <v>10</v>
      </c>
      <c r="N62">
        <v>508</v>
      </c>
      <c r="O62">
        <v>191</v>
      </c>
      <c r="P62">
        <v>317</v>
      </c>
      <c r="Q62" s="13">
        <f>ROUND(((Table14[[#This Row],[success_tackles]]*100)/Table14[[#This Row],[total_tackles]]&amp;"%"),3)</f>
        <v>0.376</v>
      </c>
      <c r="R62">
        <v>17</v>
      </c>
      <c r="S62">
        <v>14</v>
      </c>
      <c r="T62">
        <v>0</v>
      </c>
      <c r="U62">
        <v>0</v>
      </c>
    </row>
    <row r="63" spans="1:21" x14ac:dyDescent="0.25">
      <c r="A63" t="s">
        <v>44</v>
      </c>
      <c r="B63" t="s">
        <v>6</v>
      </c>
      <c r="C63">
        <v>22</v>
      </c>
      <c r="D63">
        <v>8</v>
      </c>
      <c r="E63">
        <v>13</v>
      </c>
      <c r="F63">
        <v>1</v>
      </c>
      <c r="G63">
        <v>953</v>
      </c>
      <c r="H63">
        <v>289</v>
      </c>
      <c r="I63">
        <v>18</v>
      </c>
      <c r="J63">
        <v>229</v>
      </c>
      <c r="K63">
        <v>435</v>
      </c>
      <c r="L63" s="13">
        <f>ROUND(((Table14[[#This Row],[success_raids]]*100)/Table14[[#This Row],[total_raids]])&amp;"%",3)</f>
        <v>0.30299999999999999</v>
      </c>
      <c r="M63">
        <v>9</v>
      </c>
      <c r="N63">
        <v>486</v>
      </c>
      <c r="O63">
        <v>202</v>
      </c>
      <c r="P63">
        <v>284</v>
      </c>
      <c r="Q63" s="13">
        <f>ROUND(((Table14[[#This Row],[success_tackles]]*100)/Table14[[#This Row],[total_tackles]]&amp;"%"),3)</f>
        <v>0.41599999999999998</v>
      </c>
      <c r="R63">
        <v>33</v>
      </c>
      <c r="S63">
        <v>20</v>
      </c>
      <c r="T63">
        <v>0</v>
      </c>
      <c r="U63">
        <v>0</v>
      </c>
    </row>
    <row r="64" spans="1:21" x14ac:dyDescent="0.25">
      <c r="A64" t="s">
        <v>43</v>
      </c>
      <c r="B64" t="s">
        <v>6</v>
      </c>
      <c r="C64">
        <v>18</v>
      </c>
      <c r="D64">
        <v>5</v>
      </c>
      <c r="E64">
        <v>10</v>
      </c>
      <c r="F64">
        <v>3</v>
      </c>
      <c r="G64">
        <v>744</v>
      </c>
      <c r="H64">
        <v>273</v>
      </c>
      <c r="I64">
        <v>13</v>
      </c>
      <c r="J64">
        <v>181</v>
      </c>
      <c r="K64">
        <v>290</v>
      </c>
      <c r="L64" s="13">
        <f>ROUND(((Table14[[#This Row],[success_raids]]*100)/Table14[[#This Row],[total_raids]])&amp;"%",3)</f>
        <v>0.36699999999999999</v>
      </c>
      <c r="M64">
        <v>9</v>
      </c>
      <c r="N64">
        <v>413</v>
      </c>
      <c r="O64">
        <v>162</v>
      </c>
      <c r="P64">
        <v>251</v>
      </c>
      <c r="Q64" s="13">
        <f>ROUND(((Table14[[#This Row],[success_tackles]]*100)/Table14[[#This Row],[total_tackles]]&amp;"%"),3)</f>
        <v>0.39200000000000002</v>
      </c>
      <c r="R64">
        <v>21</v>
      </c>
      <c r="S64">
        <v>5</v>
      </c>
      <c r="T64">
        <v>0</v>
      </c>
      <c r="U64">
        <v>0</v>
      </c>
    </row>
    <row r="65" spans="1:21" x14ac:dyDescent="0.25">
      <c r="A65" t="s">
        <v>50</v>
      </c>
      <c r="B65" t="s">
        <v>6</v>
      </c>
      <c r="C65">
        <v>122</v>
      </c>
      <c r="D65">
        <v>50</v>
      </c>
      <c r="E65">
        <v>57</v>
      </c>
      <c r="F65">
        <v>15</v>
      </c>
      <c r="G65">
        <v>5240</v>
      </c>
      <c r="H65">
        <v>1843</v>
      </c>
      <c r="I65">
        <v>142</v>
      </c>
      <c r="J65">
        <v>1132</v>
      </c>
      <c r="K65">
        <v>2265</v>
      </c>
      <c r="L65" s="13">
        <f>ROUND(((Table14[[#This Row],[success_raids]]*100)/Table14[[#This Row],[total_raids]])&amp;"%",3)</f>
        <v>0.35199999999999998</v>
      </c>
      <c r="M65">
        <v>62</v>
      </c>
      <c r="N65">
        <v>2807</v>
      </c>
      <c r="O65">
        <v>1067</v>
      </c>
      <c r="P65">
        <v>1740</v>
      </c>
      <c r="Q65" s="13">
        <f>ROUND(((Table14[[#This Row],[success_tackles]]*100)/Table14[[#This Row],[total_tackles]]&amp;"%"),3)</f>
        <v>0.38</v>
      </c>
      <c r="R65">
        <v>115</v>
      </c>
      <c r="S65">
        <v>60</v>
      </c>
      <c r="T65">
        <v>3</v>
      </c>
      <c r="U65">
        <v>0</v>
      </c>
    </row>
    <row r="66" spans="1:21" x14ac:dyDescent="0.25">
      <c r="A66" t="s">
        <v>45</v>
      </c>
      <c r="B66" t="s">
        <v>16</v>
      </c>
      <c r="C66">
        <v>23</v>
      </c>
      <c r="D66">
        <v>13</v>
      </c>
      <c r="E66">
        <v>6</v>
      </c>
      <c r="F66">
        <v>4</v>
      </c>
      <c r="G66">
        <v>1030</v>
      </c>
      <c r="H66">
        <v>327</v>
      </c>
      <c r="I66">
        <v>27</v>
      </c>
      <c r="J66">
        <v>206</v>
      </c>
      <c r="K66">
        <v>497</v>
      </c>
      <c r="L66" s="13">
        <f>ROUND(((Table14[[#This Row],[success_raids]]*100)/Table14[[#This Row],[total_raids]])&amp;"%",3)</f>
        <v>0.317</v>
      </c>
      <c r="M66">
        <v>12</v>
      </c>
      <c r="N66">
        <v>544</v>
      </c>
      <c r="O66">
        <v>206</v>
      </c>
      <c r="P66">
        <v>338</v>
      </c>
      <c r="Q66" s="13">
        <f>ROUND(((Table14[[#This Row],[success_tackles]]*100)/Table14[[#This Row],[total_tackles]]&amp;"%"),3)</f>
        <v>0.379</v>
      </c>
      <c r="R66">
        <v>21</v>
      </c>
      <c r="S66">
        <v>14</v>
      </c>
      <c r="T66">
        <v>0</v>
      </c>
      <c r="U66">
        <v>0</v>
      </c>
    </row>
    <row r="67" spans="1:21" x14ac:dyDescent="0.25">
      <c r="A67" t="s">
        <v>44</v>
      </c>
      <c r="B67" t="s">
        <v>16</v>
      </c>
      <c r="C67">
        <v>22</v>
      </c>
      <c r="D67">
        <v>6</v>
      </c>
      <c r="E67">
        <v>14</v>
      </c>
      <c r="F67">
        <v>2</v>
      </c>
      <c r="G67">
        <v>941</v>
      </c>
      <c r="H67">
        <v>361</v>
      </c>
      <c r="I67">
        <v>16</v>
      </c>
      <c r="J67">
        <v>230</v>
      </c>
      <c r="K67">
        <v>350</v>
      </c>
      <c r="L67" s="13">
        <f>ROUND(((Table14[[#This Row],[success_raids]]*100)/Table14[[#This Row],[total_raids]])&amp;"%",3)</f>
        <v>0.38400000000000001</v>
      </c>
      <c r="M67">
        <v>12</v>
      </c>
      <c r="N67">
        <v>562</v>
      </c>
      <c r="O67">
        <v>180</v>
      </c>
      <c r="P67">
        <v>382</v>
      </c>
      <c r="Q67" s="13">
        <f>ROUND(((Table14[[#This Row],[success_tackles]]*100)/Table14[[#This Row],[total_tackles]]&amp;"%"),3)</f>
        <v>0.32</v>
      </c>
      <c r="R67">
        <v>15</v>
      </c>
      <c r="S67">
        <v>24</v>
      </c>
      <c r="T67">
        <v>0</v>
      </c>
      <c r="U67">
        <v>0</v>
      </c>
    </row>
    <row r="68" spans="1:21" x14ac:dyDescent="0.25">
      <c r="A68" t="s">
        <v>43</v>
      </c>
      <c r="B68" t="s">
        <v>16</v>
      </c>
      <c r="C68">
        <v>17</v>
      </c>
      <c r="D68">
        <v>11</v>
      </c>
      <c r="E68">
        <v>5</v>
      </c>
      <c r="F68">
        <v>1</v>
      </c>
      <c r="G68">
        <v>705</v>
      </c>
      <c r="H68">
        <v>259</v>
      </c>
      <c r="I68">
        <v>25</v>
      </c>
      <c r="J68">
        <v>151</v>
      </c>
      <c r="K68">
        <v>295</v>
      </c>
      <c r="L68" s="13">
        <f>ROUND(((Table14[[#This Row],[success_raids]]*100)/Table14[[#This Row],[total_raids]])&amp;"%",3)</f>
        <v>0.36699999999999999</v>
      </c>
      <c r="M68">
        <v>12</v>
      </c>
      <c r="N68">
        <v>430</v>
      </c>
      <c r="O68">
        <v>165</v>
      </c>
      <c r="P68">
        <v>265</v>
      </c>
      <c r="Q68" s="13">
        <f>ROUND(((Table14[[#This Row],[success_tackles]]*100)/Table14[[#This Row],[total_tackles]]&amp;"%"),3)</f>
        <v>0.38400000000000001</v>
      </c>
      <c r="R68">
        <v>11</v>
      </c>
      <c r="S68">
        <v>2</v>
      </c>
      <c r="T68">
        <v>0</v>
      </c>
      <c r="U68">
        <v>0</v>
      </c>
    </row>
    <row r="69" spans="1:21" x14ac:dyDescent="0.25">
      <c r="A69" t="s">
        <v>50</v>
      </c>
      <c r="B69" t="s">
        <v>16</v>
      </c>
      <c r="C69">
        <v>62</v>
      </c>
      <c r="D69">
        <v>30</v>
      </c>
      <c r="E69">
        <v>25</v>
      </c>
      <c r="F69">
        <v>7</v>
      </c>
      <c r="G69">
        <v>2676</v>
      </c>
      <c r="H69">
        <v>947</v>
      </c>
      <c r="I69">
        <v>68</v>
      </c>
      <c r="J69">
        <v>587</v>
      </c>
      <c r="K69">
        <v>1142</v>
      </c>
      <c r="L69" s="13">
        <f>ROUND(((Table14[[#This Row],[success_raids]]*100)/Table14[[#This Row],[total_raids]])&amp;"%",3)</f>
        <v>0.35399999999999998</v>
      </c>
      <c r="M69">
        <v>36</v>
      </c>
      <c r="N69">
        <v>1536</v>
      </c>
      <c r="O69">
        <v>551</v>
      </c>
      <c r="P69">
        <v>985</v>
      </c>
      <c r="Q69" s="13">
        <f>ROUND(((Table14[[#This Row],[success_tackles]]*100)/Table14[[#This Row],[total_tackles]]&amp;"%"),3)</f>
        <v>0.35899999999999999</v>
      </c>
      <c r="R69">
        <v>47</v>
      </c>
      <c r="S69">
        <v>40</v>
      </c>
      <c r="T69">
        <v>0</v>
      </c>
      <c r="U69">
        <v>0</v>
      </c>
    </row>
    <row r="70" spans="1:21" x14ac:dyDescent="0.25">
      <c r="A70" t="s">
        <v>45</v>
      </c>
      <c r="B70" t="s">
        <v>17</v>
      </c>
      <c r="C70">
        <v>22</v>
      </c>
      <c r="D70">
        <v>6</v>
      </c>
      <c r="E70">
        <v>14</v>
      </c>
      <c r="F70">
        <v>2</v>
      </c>
      <c r="G70">
        <v>1022</v>
      </c>
      <c r="H70">
        <v>351</v>
      </c>
      <c r="I70">
        <v>19</v>
      </c>
      <c r="J70">
        <v>207</v>
      </c>
      <c r="K70">
        <v>464</v>
      </c>
      <c r="L70" s="13">
        <f>ROUND(((Table14[[#This Row],[success_raids]]*100)/Table14[[#This Row],[total_raids]])&amp;"%",3)</f>
        <v>0.34300000000000003</v>
      </c>
      <c r="M70">
        <v>5</v>
      </c>
      <c r="N70">
        <v>517</v>
      </c>
      <c r="O70">
        <v>184</v>
      </c>
      <c r="P70">
        <v>333</v>
      </c>
      <c r="Q70" s="13">
        <f>ROUND(((Table14[[#This Row],[success_tackles]]*100)/Table14[[#This Row],[total_tackles]]&amp;"%"),3)</f>
        <v>0.35599999999999998</v>
      </c>
      <c r="R70">
        <v>17</v>
      </c>
      <c r="S70">
        <v>11</v>
      </c>
      <c r="T70">
        <v>0</v>
      </c>
      <c r="U70">
        <v>0</v>
      </c>
    </row>
    <row r="71" spans="1:21" x14ac:dyDescent="0.25">
      <c r="A71" t="s">
        <v>44</v>
      </c>
      <c r="B71" t="s">
        <v>17</v>
      </c>
      <c r="C71">
        <v>22</v>
      </c>
      <c r="D71">
        <v>5</v>
      </c>
      <c r="E71">
        <v>13</v>
      </c>
      <c r="F71">
        <v>4</v>
      </c>
      <c r="G71">
        <v>925</v>
      </c>
      <c r="H71">
        <v>344</v>
      </c>
      <c r="I71">
        <v>20</v>
      </c>
      <c r="J71">
        <v>222</v>
      </c>
      <c r="K71">
        <v>359</v>
      </c>
      <c r="L71" s="13">
        <f>ROUND(((Table14[[#This Row],[success_raids]]*100)/Table14[[#This Row],[total_raids]])&amp;"%",3)</f>
        <v>0.372</v>
      </c>
      <c r="M71">
        <v>7</v>
      </c>
      <c r="N71">
        <v>498</v>
      </c>
      <c r="O71">
        <v>174</v>
      </c>
      <c r="P71">
        <v>324</v>
      </c>
      <c r="Q71" s="13">
        <f>ROUND(((Table14[[#This Row],[success_tackles]]*100)/Table14[[#This Row],[total_tackles]]&amp;"%"),3)</f>
        <v>0.34899999999999998</v>
      </c>
      <c r="R71">
        <v>15</v>
      </c>
      <c r="S71">
        <v>20</v>
      </c>
      <c r="T71">
        <v>2</v>
      </c>
      <c r="U71">
        <v>0</v>
      </c>
    </row>
    <row r="72" spans="1:21" x14ac:dyDescent="0.25">
      <c r="A72" t="s">
        <v>43</v>
      </c>
      <c r="B72" t="s">
        <v>17</v>
      </c>
      <c r="C72">
        <v>18</v>
      </c>
      <c r="D72">
        <v>3</v>
      </c>
      <c r="E72">
        <v>12</v>
      </c>
      <c r="F72">
        <v>3</v>
      </c>
      <c r="G72">
        <v>750</v>
      </c>
      <c r="H72">
        <v>248</v>
      </c>
      <c r="I72">
        <v>13</v>
      </c>
      <c r="J72">
        <v>194</v>
      </c>
      <c r="K72">
        <v>308</v>
      </c>
      <c r="L72" s="13">
        <f>ROUND(((Table14[[#This Row],[success_raids]]*100)/Table14[[#This Row],[total_raids]])&amp;"%",3)</f>
        <v>0.33100000000000002</v>
      </c>
      <c r="M72">
        <v>4</v>
      </c>
      <c r="N72">
        <v>400</v>
      </c>
      <c r="O72">
        <v>144</v>
      </c>
      <c r="P72">
        <v>256</v>
      </c>
      <c r="Q72" s="13">
        <f>ROUND(((Table14[[#This Row],[success_tackles]]*100)/Table14[[#This Row],[total_tackles]]&amp;"%"),3)</f>
        <v>0.36</v>
      </c>
      <c r="R72">
        <v>13</v>
      </c>
      <c r="S72">
        <v>8</v>
      </c>
      <c r="T72">
        <v>0</v>
      </c>
      <c r="U72">
        <v>0</v>
      </c>
    </row>
    <row r="73" spans="1:21" x14ac:dyDescent="0.25">
      <c r="A73" t="s">
        <v>50</v>
      </c>
      <c r="B73" t="s">
        <v>17</v>
      </c>
      <c r="C73">
        <v>62</v>
      </c>
      <c r="D73">
        <v>14</v>
      </c>
      <c r="E73">
        <v>39</v>
      </c>
      <c r="F73">
        <v>9</v>
      </c>
      <c r="G73">
        <v>2697</v>
      </c>
      <c r="H73">
        <v>943</v>
      </c>
      <c r="I73">
        <v>52</v>
      </c>
      <c r="J73">
        <v>623</v>
      </c>
      <c r="K73">
        <v>1131</v>
      </c>
      <c r="L73" s="13">
        <f>ROUND(((Table14[[#This Row],[success_raids]]*100)/Table14[[#This Row],[total_raids]])&amp;"%",3)</f>
        <v>0.35</v>
      </c>
      <c r="M73">
        <v>16</v>
      </c>
      <c r="N73">
        <v>1415</v>
      </c>
      <c r="O73">
        <v>502</v>
      </c>
      <c r="P73">
        <v>913</v>
      </c>
      <c r="Q73" s="13">
        <f>ROUND(((Table14[[#This Row],[success_tackles]]*100)/Table14[[#This Row],[total_tackles]]&amp;"%"),3)</f>
        <v>0.35499999999999998</v>
      </c>
      <c r="R73">
        <v>45</v>
      </c>
      <c r="S73">
        <v>39</v>
      </c>
      <c r="T73">
        <v>2</v>
      </c>
      <c r="U73">
        <v>0</v>
      </c>
    </row>
    <row r="74" spans="1:21" x14ac:dyDescent="0.25">
      <c r="A74" t="s">
        <v>45</v>
      </c>
      <c r="B74" t="s">
        <v>15</v>
      </c>
      <c r="C74">
        <v>23</v>
      </c>
      <c r="D74">
        <v>8</v>
      </c>
      <c r="E74">
        <v>11</v>
      </c>
      <c r="F74">
        <v>4</v>
      </c>
      <c r="G74">
        <v>1002</v>
      </c>
      <c r="H74">
        <v>358</v>
      </c>
      <c r="I74">
        <v>23</v>
      </c>
      <c r="J74">
        <v>221</v>
      </c>
      <c r="K74">
        <v>423</v>
      </c>
      <c r="L74" s="13">
        <f>ROUND(((Table14[[#This Row],[success_raids]]*100)/Table14[[#This Row],[total_raids]])&amp;"%",3)</f>
        <v>0.35699999999999998</v>
      </c>
      <c r="M74">
        <v>23</v>
      </c>
      <c r="N74">
        <v>551</v>
      </c>
      <c r="O74">
        <v>183</v>
      </c>
      <c r="P74">
        <v>368</v>
      </c>
      <c r="Q74" s="13">
        <f>ROUND(((Table14[[#This Row],[success_tackles]]*100)/Table14[[#This Row],[total_tackles]]&amp;"%"),3)</f>
        <v>0.33200000000000002</v>
      </c>
      <c r="R74">
        <v>19</v>
      </c>
      <c r="S74">
        <v>16</v>
      </c>
      <c r="T74">
        <v>1</v>
      </c>
      <c r="U74">
        <v>0</v>
      </c>
    </row>
    <row r="75" spans="1:21" x14ac:dyDescent="0.25">
      <c r="A75" t="s">
        <v>44</v>
      </c>
      <c r="B75" t="s">
        <v>15</v>
      </c>
      <c r="C75">
        <v>25</v>
      </c>
      <c r="D75">
        <v>10</v>
      </c>
      <c r="E75">
        <v>11</v>
      </c>
      <c r="F75">
        <v>4</v>
      </c>
      <c r="G75">
        <v>1068</v>
      </c>
      <c r="H75">
        <v>357</v>
      </c>
      <c r="I75">
        <v>26</v>
      </c>
      <c r="J75">
        <v>255</v>
      </c>
      <c r="K75">
        <v>456</v>
      </c>
      <c r="L75" s="13">
        <f>ROUND(((Table14[[#This Row],[success_raids]]*100)/Table14[[#This Row],[total_raids]])&amp;"%",3)</f>
        <v>0.33400000000000002</v>
      </c>
      <c r="M75">
        <v>10</v>
      </c>
      <c r="N75">
        <v>594</v>
      </c>
      <c r="O75">
        <v>240</v>
      </c>
      <c r="P75">
        <v>354</v>
      </c>
      <c r="Q75" s="13">
        <f>ROUND(((Table14[[#This Row],[success_tackles]]*100)/Table14[[#This Row],[total_tackles]]&amp;"%"),3)</f>
        <v>0.40400000000000003</v>
      </c>
      <c r="R75">
        <v>27</v>
      </c>
      <c r="S75">
        <v>12</v>
      </c>
      <c r="T75">
        <v>1</v>
      </c>
      <c r="U75">
        <v>0</v>
      </c>
    </row>
    <row r="76" spans="1:21" x14ac:dyDescent="0.25">
      <c r="A76" t="s">
        <v>43</v>
      </c>
      <c r="B76" t="s">
        <v>15</v>
      </c>
      <c r="C76">
        <v>17</v>
      </c>
      <c r="D76">
        <v>9</v>
      </c>
      <c r="E76">
        <v>6</v>
      </c>
      <c r="F76">
        <v>2</v>
      </c>
      <c r="G76">
        <v>711</v>
      </c>
      <c r="H76">
        <v>208</v>
      </c>
      <c r="I76">
        <v>20</v>
      </c>
      <c r="J76">
        <v>172</v>
      </c>
      <c r="K76">
        <v>331</v>
      </c>
      <c r="L76" s="13">
        <f>ROUND(((Table14[[#This Row],[success_raids]]*100)/Table14[[#This Row],[total_raids]])&amp;"%",3)</f>
        <v>0.29299999999999998</v>
      </c>
      <c r="M76">
        <v>4</v>
      </c>
      <c r="N76">
        <v>389</v>
      </c>
      <c r="O76">
        <v>167</v>
      </c>
      <c r="P76">
        <v>222</v>
      </c>
      <c r="Q76" s="13">
        <f>ROUND(((Table14[[#This Row],[success_tackles]]*100)/Table14[[#This Row],[total_tackles]]&amp;"%"),3)</f>
        <v>0.42899999999999999</v>
      </c>
      <c r="R76">
        <v>14</v>
      </c>
      <c r="S76">
        <v>3</v>
      </c>
      <c r="T76">
        <v>0</v>
      </c>
      <c r="U76">
        <v>0</v>
      </c>
    </row>
    <row r="77" spans="1:21" x14ac:dyDescent="0.25">
      <c r="A77" t="s">
        <v>50</v>
      </c>
      <c r="B77" t="s">
        <v>15</v>
      </c>
      <c r="C77">
        <v>65</v>
      </c>
      <c r="D77">
        <v>27</v>
      </c>
      <c r="E77">
        <v>28</v>
      </c>
      <c r="F77">
        <v>10</v>
      </c>
      <c r="G77">
        <v>2781</v>
      </c>
      <c r="H77">
        <v>923</v>
      </c>
      <c r="I77">
        <v>69</v>
      </c>
      <c r="J77">
        <v>648</v>
      </c>
      <c r="K77">
        <v>1210</v>
      </c>
      <c r="L77" s="13">
        <f>ROUND(((Table14[[#This Row],[success_raids]]*100)/Table14[[#This Row],[total_raids]])&amp;"%",3)</f>
        <v>0.33200000000000002</v>
      </c>
      <c r="M77">
        <v>37</v>
      </c>
      <c r="N77">
        <v>1534</v>
      </c>
      <c r="O77">
        <v>590</v>
      </c>
      <c r="P77">
        <v>944</v>
      </c>
      <c r="Q77" s="13">
        <f>ROUND(((Table14[[#This Row],[success_tackles]]*100)/Table14[[#This Row],[total_tackles]]&amp;"%"),3)</f>
        <v>0.38500000000000001</v>
      </c>
      <c r="R77">
        <v>60</v>
      </c>
      <c r="S77">
        <v>31</v>
      </c>
      <c r="T77">
        <v>2</v>
      </c>
      <c r="U77">
        <v>0</v>
      </c>
    </row>
    <row r="78" spans="1:21" x14ac:dyDescent="0.25">
      <c r="A78" t="s">
        <v>45</v>
      </c>
      <c r="B78" t="s">
        <v>14</v>
      </c>
      <c r="C78">
        <v>24</v>
      </c>
      <c r="D78">
        <v>16</v>
      </c>
      <c r="E78">
        <v>5</v>
      </c>
      <c r="F78">
        <v>3</v>
      </c>
      <c r="G78">
        <v>1055</v>
      </c>
      <c r="H78">
        <v>335</v>
      </c>
      <c r="I78">
        <v>36</v>
      </c>
      <c r="J78">
        <v>211</v>
      </c>
      <c r="K78">
        <v>509</v>
      </c>
      <c r="L78" s="13">
        <f>ROUND(((Table14[[#This Row],[success_raids]]*100)/Table14[[#This Row],[total_raids]])&amp;"%",3)</f>
        <v>0.318</v>
      </c>
      <c r="M78">
        <v>11</v>
      </c>
      <c r="N78">
        <v>497</v>
      </c>
      <c r="O78">
        <v>242</v>
      </c>
      <c r="P78">
        <v>255</v>
      </c>
      <c r="Q78" s="13">
        <f>ROUND(((Table14[[#This Row],[success_tackles]]*100)/Table14[[#This Row],[total_tackles]]&amp;"%"),3)</f>
        <v>0.48699999999999999</v>
      </c>
      <c r="R78">
        <v>12</v>
      </c>
      <c r="S78">
        <v>18</v>
      </c>
      <c r="T78">
        <v>2</v>
      </c>
      <c r="U78">
        <v>0</v>
      </c>
    </row>
    <row r="79" spans="1:21" x14ac:dyDescent="0.25">
      <c r="A79" t="s">
        <v>44</v>
      </c>
      <c r="B79" t="s">
        <v>14</v>
      </c>
      <c r="C79">
        <v>25</v>
      </c>
      <c r="D79">
        <v>18</v>
      </c>
      <c r="E79">
        <v>5</v>
      </c>
      <c r="F79">
        <v>2</v>
      </c>
      <c r="G79">
        <v>1072</v>
      </c>
      <c r="H79">
        <v>392</v>
      </c>
      <c r="I79">
        <v>36</v>
      </c>
      <c r="J79">
        <v>246</v>
      </c>
      <c r="K79">
        <v>434</v>
      </c>
      <c r="L79" s="13">
        <f>ROUND(((Table14[[#This Row],[success_raids]]*100)/Table14[[#This Row],[total_raids]])&amp;"%",3)</f>
        <v>0.36599999999999999</v>
      </c>
      <c r="M79">
        <v>10</v>
      </c>
      <c r="N79">
        <v>586</v>
      </c>
      <c r="O79">
        <v>258</v>
      </c>
      <c r="P79">
        <v>328</v>
      </c>
      <c r="Q79" s="13">
        <f>ROUND(((Table14[[#This Row],[success_tackles]]*100)/Table14[[#This Row],[total_tackles]]&amp;"%"),3)</f>
        <v>0.44</v>
      </c>
      <c r="R79">
        <v>18</v>
      </c>
      <c r="S79">
        <v>16</v>
      </c>
      <c r="T79">
        <v>0</v>
      </c>
      <c r="U79">
        <v>0</v>
      </c>
    </row>
    <row r="80" spans="1:21" x14ac:dyDescent="0.25">
      <c r="A80" t="s">
        <v>43</v>
      </c>
      <c r="B80" t="s">
        <v>14</v>
      </c>
      <c r="C80">
        <v>18</v>
      </c>
      <c r="D80">
        <v>5</v>
      </c>
      <c r="E80">
        <v>11</v>
      </c>
      <c r="F80">
        <v>2</v>
      </c>
      <c r="G80">
        <v>731</v>
      </c>
      <c r="H80">
        <v>226</v>
      </c>
      <c r="I80">
        <v>17</v>
      </c>
      <c r="J80">
        <v>200</v>
      </c>
      <c r="K80">
        <v>305</v>
      </c>
      <c r="L80" s="13">
        <f>ROUND(((Table14[[#This Row],[success_raids]]*100)/Table14[[#This Row],[total_raids]])&amp;"%",3)</f>
        <v>0.309</v>
      </c>
      <c r="M80">
        <v>4</v>
      </c>
      <c r="N80">
        <v>362</v>
      </c>
      <c r="O80">
        <v>160</v>
      </c>
      <c r="P80">
        <v>202</v>
      </c>
      <c r="Q80" s="13">
        <f>ROUND(((Table14[[#This Row],[success_tackles]]*100)/Table14[[#This Row],[total_tackles]]&amp;"%"),3)</f>
        <v>0.442</v>
      </c>
      <c r="R80">
        <v>15</v>
      </c>
      <c r="S80">
        <v>1</v>
      </c>
      <c r="T80">
        <v>0</v>
      </c>
      <c r="U80">
        <v>0</v>
      </c>
    </row>
    <row r="81" spans="1:21" x14ac:dyDescent="0.25">
      <c r="A81" t="s">
        <v>50</v>
      </c>
      <c r="B81" t="s">
        <v>14</v>
      </c>
      <c r="C81">
        <v>67</v>
      </c>
      <c r="D81">
        <v>39</v>
      </c>
      <c r="E81">
        <v>21</v>
      </c>
      <c r="F81">
        <v>7</v>
      </c>
      <c r="G81">
        <v>2858</v>
      </c>
      <c r="H81">
        <v>953</v>
      </c>
      <c r="I81">
        <v>89</v>
      </c>
      <c r="J81">
        <v>657</v>
      </c>
      <c r="K81">
        <v>1248</v>
      </c>
      <c r="L81" s="13">
        <f>ROUND(((Table14[[#This Row],[success_raids]]*100)/Table14[[#This Row],[total_raids]])&amp;"%",3)</f>
        <v>0.33300000000000002</v>
      </c>
      <c r="M81">
        <v>25</v>
      </c>
      <c r="N81">
        <v>1445</v>
      </c>
      <c r="O81">
        <v>660</v>
      </c>
      <c r="P81">
        <v>785</v>
      </c>
      <c r="Q81" s="13">
        <f>ROUND(((Table14[[#This Row],[success_tackles]]*100)/Table14[[#This Row],[total_tackles]]&amp;"%"),3)</f>
        <v>0.45700000000000002</v>
      </c>
      <c r="R81">
        <v>45</v>
      </c>
      <c r="S81">
        <v>35</v>
      </c>
      <c r="T81">
        <v>2</v>
      </c>
      <c r="U8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48E47-8AEC-494D-922C-C12ED42A9647}">
  <dimension ref="A3:C12"/>
  <sheetViews>
    <sheetView workbookViewId="0">
      <selection activeCell="C4" sqref="C4"/>
    </sheetView>
  </sheetViews>
  <sheetFormatPr defaultRowHeight="15" x14ac:dyDescent="0.25"/>
  <cols>
    <col min="1" max="1" width="19.28515625" bestFit="1" customWidth="1"/>
    <col min="2" max="2" width="18.42578125" bestFit="1" customWidth="1"/>
    <col min="3" max="3" width="20.42578125" bestFit="1" customWidth="1"/>
  </cols>
  <sheetData>
    <row r="3" spans="1:3" x14ac:dyDescent="0.25">
      <c r="A3" s="3" t="s">
        <v>71</v>
      </c>
      <c r="B3" t="s">
        <v>81</v>
      </c>
      <c r="C3" t="s">
        <v>82</v>
      </c>
    </row>
    <row r="4" spans="1:3" x14ac:dyDescent="0.25">
      <c r="A4" s="4" t="s">
        <v>8</v>
      </c>
      <c r="B4" s="18">
        <v>11</v>
      </c>
      <c r="C4" s="18">
        <v>16</v>
      </c>
    </row>
    <row r="5" spans="1:3" x14ac:dyDescent="0.25">
      <c r="A5" s="4" t="s">
        <v>5</v>
      </c>
      <c r="B5" s="18">
        <v>7</v>
      </c>
      <c r="C5" s="18">
        <v>10</v>
      </c>
    </row>
    <row r="6" spans="1:3" x14ac:dyDescent="0.25">
      <c r="A6" s="4" t="s">
        <v>7</v>
      </c>
      <c r="B6" s="18">
        <v>5</v>
      </c>
      <c r="C6" s="18">
        <v>10</v>
      </c>
    </row>
    <row r="7" spans="1:3" x14ac:dyDescent="0.25">
      <c r="A7" s="4" t="s">
        <v>2</v>
      </c>
      <c r="B7" s="18">
        <v>9</v>
      </c>
      <c r="C7" s="18">
        <v>12</v>
      </c>
    </row>
    <row r="8" spans="1:3" x14ac:dyDescent="0.25">
      <c r="A8" s="4" t="s">
        <v>4</v>
      </c>
      <c r="B8" s="18">
        <v>13</v>
      </c>
      <c r="C8" s="18">
        <v>18</v>
      </c>
    </row>
    <row r="9" spans="1:3" x14ac:dyDescent="0.25">
      <c r="A9" s="4" t="s">
        <v>9</v>
      </c>
      <c r="B9" s="18">
        <v>11</v>
      </c>
      <c r="C9" s="18">
        <v>14</v>
      </c>
    </row>
    <row r="10" spans="1:3" x14ac:dyDescent="0.25">
      <c r="A10" s="4" t="s">
        <v>6</v>
      </c>
      <c r="B10" s="18">
        <v>8</v>
      </c>
      <c r="C10" s="18">
        <v>8</v>
      </c>
    </row>
    <row r="11" spans="1:3" x14ac:dyDescent="0.25">
      <c r="A11" s="4" t="s">
        <v>3</v>
      </c>
      <c r="B11" s="18">
        <v>12</v>
      </c>
      <c r="C11" s="18">
        <v>12</v>
      </c>
    </row>
    <row r="12" spans="1:3" x14ac:dyDescent="0.25">
      <c r="A12" s="4" t="s">
        <v>72</v>
      </c>
      <c r="B12" s="18">
        <v>76</v>
      </c>
      <c r="C12" s="18">
        <v>100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3C4CE-5F80-4E2A-9BEF-C24EC541B2BC}">
  <dimension ref="A3:C13"/>
  <sheetViews>
    <sheetView workbookViewId="0">
      <selection activeCell="N24" sqref="N24"/>
    </sheetView>
  </sheetViews>
  <sheetFormatPr defaultRowHeight="15" x14ac:dyDescent="0.25"/>
  <cols>
    <col min="1" max="1" width="19.28515625" bestFit="1" customWidth="1"/>
    <col min="2" max="2" width="16.85546875" bestFit="1" customWidth="1"/>
    <col min="3" max="3" width="11.28515625" bestFit="1" customWidth="1"/>
    <col min="4" max="8" width="9.42578125" bestFit="1" customWidth="1"/>
    <col min="9" max="9" width="5.42578125" bestFit="1" customWidth="1"/>
    <col min="10" max="10" width="11.28515625" bestFit="1" customWidth="1"/>
  </cols>
  <sheetData>
    <row r="3" spans="1:3" x14ac:dyDescent="0.25">
      <c r="A3" s="3" t="s">
        <v>75</v>
      </c>
      <c r="B3" s="3" t="s">
        <v>73</v>
      </c>
    </row>
    <row r="4" spans="1:3" x14ac:dyDescent="0.25">
      <c r="A4" s="3" t="s">
        <v>71</v>
      </c>
      <c r="B4" t="s">
        <v>49</v>
      </c>
      <c r="C4" t="s">
        <v>72</v>
      </c>
    </row>
    <row r="5" spans="1:3" x14ac:dyDescent="0.25">
      <c r="A5" s="4" t="s">
        <v>2</v>
      </c>
      <c r="B5" s="18">
        <v>12</v>
      </c>
      <c r="C5" s="18">
        <v>12</v>
      </c>
    </row>
    <row r="6" spans="1:3" x14ac:dyDescent="0.25">
      <c r="A6" s="4" t="s">
        <v>3</v>
      </c>
      <c r="B6" s="18">
        <v>9</v>
      </c>
      <c r="C6" s="18">
        <v>9</v>
      </c>
    </row>
    <row r="7" spans="1:3" x14ac:dyDescent="0.25">
      <c r="A7" s="4" t="s">
        <v>5</v>
      </c>
      <c r="B7" s="18">
        <v>8</v>
      </c>
      <c r="C7" s="18">
        <v>8</v>
      </c>
    </row>
    <row r="8" spans="1:3" x14ac:dyDescent="0.25">
      <c r="A8" s="4" t="s">
        <v>4</v>
      </c>
      <c r="B8" s="18">
        <v>8</v>
      </c>
      <c r="C8" s="18">
        <v>8</v>
      </c>
    </row>
    <row r="9" spans="1:3" x14ac:dyDescent="0.25">
      <c r="A9" s="4" t="s">
        <v>6</v>
      </c>
      <c r="B9" s="18">
        <v>6</v>
      </c>
      <c r="C9" s="18">
        <v>6</v>
      </c>
    </row>
    <row r="10" spans="1:3" x14ac:dyDescent="0.25">
      <c r="A10" s="4" t="s">
        <v>7</v>
      </c>
      <c r="B10" s="18">
        <v>5</v>
      </c>
      <c r="C10" s="18">
        <v>5</v>
      </c>
    </row>
    <row r="11" spans="1:3" x14ac:dyDescent="0.25">
      <c r="A11" s="4" t="s">
        <v>8</v>
      </c>
      <c r="B11" s="18">
        <v>4</v>
      </c>
      <c r="C11" s="18">
        <v>4</v>
      </c>
    </row>
    <row r="12" spans="1:3" x14ac:dyDescent="0.25">
      <c r="A12" s="4" t="s">
        <v>9</v>
      </c>
      <c r="B12" s="18">
        <v>2</v>
      </c>
      <c r="C12" s="18">
        <v>2</v>
      </c>
    </row>
    <row r="13" spans="1:3" x14ac:dyDescent="0.25">
      <c r="A13" s="4" t="s">
        <v>72</v>
      </c>
      <c r="B13" s="18">
        <v>54</v>
      </c>
      <c r="C13" s="18">
        <v>54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B587E-100F-4F09-954D-9FB22DF97943}">
  <dimension ref="A3:E9"/>
  <sheetViews>
    <sheetView workbookViewId="0">
      <selection activeCell="D16" sqref="D16"/>
    </sheetView>
  </sheetViews>
  <sheetFormatPr defaultRowHeight="15" x14ac:dyDescent="0.25"/>
  <cols>
    <col min="1" max="1" width="19.28515625" bestFit="1" customWidth="1"/>
    <col min="2" max="2" width="16" bestFit="1" customWidth="1"/>
    <col min="3" max="3" width="9" bestFit="1" customWidth="1"/>
    <col min="4" max="4" width="21.42578125" customWidth="1"/>
    <col min="5" max="8" width="9" bestFit="1" customWidth="1"/>
    <col min="9" max="9" width="11.28515625" bestFit="1" customWidth="1"/>
  </cols>
  <sheetData>
    <row r="3" spans="1:5" x14ac:dyDescent="0.25">
      <c r="A3" s="3" t="s">
        <v>71</v>
      </c>
      <c r="B3" t="s">
        <v>74</v>
      </c>
    </row>
    <row r="4" spans="1:5" x14ac:dyDescent="0.25">
      <c r="A4" s="4" t="s">
        <v>8</v>
      </c>
      <c r="B4">
        <v>1</v>
      </c>
      <c r="D4" t="str">
        <f>A4</f>
        <v>Bengal Warriors</v>
      </c>
      <c r="E4">
        <f>GETPIVOTDATA("Winner",$A$3,"Winner",A4)</f>
        <v>1</v>
      </c>
    </row>
    <row r="5" spans="1:5" x14ac:dyDescent="0.25">
      <c r="A5" s="4" t="s">
        <v>5</v>
      </c>
      <c r="B5">
        <v>1</v>
      </c>
      <c r="D5" t="str">
        <f t="shared" ref="D5:D8" si="0">A5</f>
        <v>Bengaluru Bulls</v>
      </c>
      <c r="E5">
        <f t="shared" ref="E5:E8" si="1">GETPIVOTDATA("Winner",$A$3,"Winner",A5)</f>
        <v>1</v>
      </c>
    </row>
    <row r="6" spans="1:5" x14ac:dyDescent="0.25">
      <c r="A6" s="4" t="s">
        <v>2</v>
      </c>
      <c r="B6">
        <v>1</v>
      </c>
      <c r="D6" t="str">
        <f t="shared" si="0"/>
        <v>Jaipur Pink Panthers</v>
      </c>
      <c r="E6">
        <f t="shared" si="1"/>
        <v>1</v>
      </c>
    </row>
    <row r="7" spans="1:5" x14ac:dyDescent="0.25">
      <c r="A7" s="4" t="s">
        <v>4</v>
      </c>
      <c r="B7">
        <v>3</v>
      </c>
      <c r="D7" t="str">
        <f t="shared" si="0"/>
        <v>Patna Pirates</v>
      </c>
      <c r="E7">
        <f t="shared" si="1"/>
        <v>3</v>
      </c>
    </row>
    <row r="8" spans="1:5" x14ac:dyDescent="0.25">
      <c r="A8" s="4" t="s">
        <v>3</v>
      </c>
      <c r="B8">
        <v>1</v>
      </c>
      <c r="D8" t="str">
        <f t="shared" si="0"/>
        <v>U Mumba</v>
      </c>
      <c r="E8">
        <f t="shared" si="1"/>
        <v>1</v>
      </c>
    </row>
    <row r="9" spans="1:5" x14ac:dyDescent="0.25">
      <c r="A9" s="4" t="s">
        <v>72</v>
      </c>
      <c r="B9">
        <v>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AA754-D07C-4BD7-9145-0679346EFE14}">
  <dimension ref="A3:C12"/>
  <sheetViews>
    <sheetView zoomScale="111" workbookViewId="0">
      <selection activeCell="C4" sqref="C4"/>
    </sheetView>
  </sheetViews>
  <sheetFormatPr defaultRowHeight="15" x14ac:dyDescent="0.25"/>
  <cols>
    <col min="1" max="1" width="19.28515625" bestFit="1" customWidth="1"/>
    <col min="2" max="2" width="31" bestFit="1" customWidth="1"/>
    <col min="3" max="3" width="29.42578125" bestFit="1" customWidth="1"/>
  </cols>
  <sheetData>
    <row r="3" spans="1:3" x14ac:dyDescent="0.25">
      <c r="A3" s="3" t="s">
        <v>71</v>
      </c>
      <c r="B3" t="s">
        <v>78</v>
      </c>
      <c r="C3" t="s">
        <v>79</v>
      </c>
    </row>
    <row r="4" spans="1:3" x14ac:dyDescent="0.25">
      <c r="A4" s="4" t="s">
        <v>8</v>
      </c>
      <c r="B4" s="14">
        <v>52</v>
      </c>
      <c r="C4" s="14">
        <v>32</v>
      </c>
    </row>
    <row r="5" spans="1:3" x14ac:dyDescent="0.25">
      <c r="A5" s="4" t="s">
        <v>5</v>
      </c>
      <c r="B5" s="14">
        <v>45</v>
      </c>
      <c r="C5" s="14">
        <v>46</v>
      </c>
    </row>
    <row r="6" spans="1:3" x14ac:dyDescent="0.25">
      <c r="A6" s="4" t="s">
        <v>7</v>
      </c>
      <c r="B6" s="14">
        <v>51</v>
      </c>
      <c r="C6" s="14">
        <v>36</v>
      </c>
    </row>
    <row r="7" spans="1:3" x14ac:dyDescent="0.25">
      <c r="A7" s="4" t="s">
        <v>2</v>
      </c>
      <c r="B7" s="14">
        <v>55</v>
      </c>
      <c r="C7" s="14">
        <v>42</v>
      </c>
    </row>
    <row r="8" spans="1:3" x14ac:dyDescent="0.25">
      <c r="A8" s="4" t="s">
        <v>4</v>
      </c>
      <c r="B8" s="14">
        <v>50</v>
      </c>
      <c r="C8" s="14">
        <v>37</v>
      </c>
    </row>
    <row r="9" spans="1:3" x14ac:dyDescent="0.25">
      <c r="A9" s="4" t="s">
        <v>9</v>
      </c>
      <c r="B9" s="14">
        <v>49</v>
      </c>
      <c r="C9" s="14">
        <v>29</v>
      </c>
    </row>
    <row r="10" spans="1:3" x14ac:dyDescent="0.25">
      <c r="A10" s="4" t="s">
        <v>6</v>
      </c>
      <c r="B10" s="14">
        <v>59</v>
      </c>
      <c r="C10" s="14">
        <v>31</v>
      </c>
    </row>
    <row r="11" spans="1:3" x14ac:dyDescent="0.25">
      <c r="A11" s="4" t="s">
        <v>3</v>
      </c>
      <c r="B11" s="14">
        <v>56</v>
      </c>
      <c r="C11" s="14">
        <v>38</v>
      </c>
    </row>
    <row r="12" spans="1:3" x14ac:dyDescent="0.25">
      <c r="A12" s="4" t="s">
        <v>72</v>
      </c>
      <c r="B12" s="14">
        <v>52.125</v>
      </c>
      <c r="C12" s="14">
        <v>36.375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3F960-627A-41A7-AD20-69560BA6640D}">
  <dimension ref="A3:D12"/>
  <sheetViews>
    <sheetView workbookViewId="0">
      <selection activeCell="C6" sqref="C6"/>
    </sheetView>
  </sheetViews>
  <sheetFormatPr defaultRowHeight="15" x14ac:dyDescent="0.25"/>
  <cols>
    <col min="1" max="1" width="19.28515625" bestFit="1" customWidth="1"/>
    <col min="2" max="2" width="11.85546875" bestFit="1" customWidth="1"/>
    <col min="3" max="3" width="13.7109375" bestFit="1" customWidth="1"/>
    <col min="4" max="4" width="13.140625" bestFit="1" customWidth="1"/>
    <col min="5" max="5" width="20.7109375" bestFit="1" customWidth="1"/>
  </cols>
  <sheetData>
    <row r="3" spans="1:4" x14ac:dyDescent="0.25">
      <c r="A3" s="3" t="s">
        <v>71</v>
      </c>
      <c r="B3" t="s">
        <v>75</v>
      </c>
      <c r="C3" t="s">
        <v>76</v>
      </c>
      <c r="D3" t="s">
        <v>77</v>
      </c>
    </row>
    <row r="4" spans="1:4" x14ac:dyDescent="0.25">
      <c r="A4" s="4" t="s">
        <v>8</v>
      </c>
      <c r="B4" s="18">
        <v>4</v>
      </c>
      <c r="C4" s="18">
        <v>9</v>
      </c>
      <c r="D4" s="18">
        <v>1</v>
      </c>
    </row>
    <row r="5" spans="1:4" x14ac:dyDescent="0.25">
      <c r="A5" s="4" t="s">
        <v>5</v>
      </c>
      <c r="B5" s="18">
        <v>8</v>
      </c>
      <c r="C5" s="18">
        <v>7</v>
      </c>
      <c r="D5" s="18">
        <v>1</v>
      </c>
    </row>
    <row r="6" spans="1:4" x14ac:dyDescent="0.25">
      <c r="A6" s="4" t="s">
        <v>7</v>
      </c>
      <c r="B6" s="18">
        <v>5</v>
      </c>
      <c r="C6" s="18">
        <v>8</v>
      </c>
      <c r="D6" s="18">
        <v>1</v>
      </c>
    </row>
    <row r="7" spans="1:4" x14ac:dyDescent="0.25">
      <c r="A7" s="4" t="s">
        <v>2</v>
      </c>
      <c r="B7" s="18">
        <v>12</v>
      </c>
      <c r="C7" s="18">
        <v>3</v>
      </c>
      <c r="D7" s="18">
        <v>1</v>
      </c>
    </row>
    <row r="8" spans="1:4" x14ac:dyDescent="0.25">
      <c r="A8" s="4" t="s">
        <v>4</v>
      </c>
      <c r="B8" s="18">
        <v>8</v>
      </c>
      <c r="C8" s="18">
        <v>6</v>
      </c>
      <c r="D8" s="18">
        <v>2</v>
      </c>
    </row>
    <row r="9" spans="1:4" x14ac:dyDescent="0.25">
      <c r="A9" s="4" t="s">
        <v>9</v>
      </c>
      <c r="B9" s="18">
        <v>2</v>
      </c>
      <c r="C9" s="18">
        <v>12</v>
      </c>
      <c r="D9" s="18">
        <v>0</v>
      </c>
    </row>
    <row r="10" spans="1:4" x14ac:dyDescent="0.25">
      <c r="A10" s="4" t="s">
        <v>6</v>
      </c>
      <c r="B10" s="18">
        <v>6</v>
      </c>
      <c r="C10" s="18">
        <v>5</v>
      </c>
      <c r="D10" s="18">
        <v>3</v>
      </c>
    </row>
    <row r="11" spans="1:4" x14ac:dyDescent="0.25">
      <c r="A11" s="4" t="s">
        <v>3</v>
      </c>
      <c r="B11" s="18">
        <v>9</v>
      </c>
      <c r="C11" s="18">
        <v>4</v>
      </c>
      <c r="D11" s="18">
        <v>3</v>
      </c>
    </row>
    <row r="12" spans="1:4" x14ac:dyDescent="0.25">
      <c r="A12" s="4" t="s">
        <v>72</v>
      </c>
      <c r="B12" s="18">
        <v>54</v>
      </c>
      <c r="C12" s="18">
        <v>54</v>
      </c>
      <c r="D12" s="18">
        <v>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F2B01-53DA-41B4-B922-9873819A55EB}">
  <dimension ref="A3:M28"/>
  <sheetViews>
    <sheetView topLeftCell="C1" zoomScale="74" workbookViewId="0">
      <selection activeCell="G5" sqref="G5"/>
    </sheetView>
  </sheetViews>
  <sheetFormatPr defaultRowHeight="15" x14ac:dyDescent="0.25"/>
  <cols>
    <col min="1" max="1" width="14.28515625" bestFit="1" customWidth="1"/>
    <col min="2" max="3" width="13.42578125" bestFit="1" customWidth="1"/>
    <col min="7" max="7" width="8.85546875" bestFit="1" customWidth="1"/>
    <col min="8" max="8" width="19.28515625" bestFit="1" customWidth="1"/>
    <col min="9" max="9" width="10.42578125" bestFit="1" customWidth="1"/>
    <col min="10" max="10" width="18.42578125" bestFit="1" customWidth="1"/>
    <col min="11" max="11" width="18.7109375" bestFit="1" customWidth="1"/>
    <col min="12" max="12" width="14.42578125" bestFit="1" customWidth="1"/>
    <col min="13" max="13" width="11.85546875" bestFit="1" customWidth="1"/>
  </cols>
  <sheetData>
    <row r="3" spans="1:13" ht="37.5" customHeight="1" x14ac:dyDescent="0.25">
      <c r="A3" s="3" t="s">
        <v>71</v>
      </c>
      <c r="G3" s="15" t="s">
        <v>21</v>
      </c>
      <c r="H3" s="15" t="s">
        <v>22</v>
      </c>
      <c r="I3" s="15" t="s">
        <v>23</v>
      </c>
      <c r="J3" s="15" t="s">
        <v>25</v>
      </c>
      <c r="K3" s="15" t="s">
        <v>24</v>
      </c>
      <c r="L3" s="16" t="s">
        <v>35</v>
      </c>
      <c r="M3" s="16" t="s">
        <v>36</v>
      </c>
    </row>
    <row r="4" spans="1:13" x14ac:dyDescent="0.25">
      <c r="A4" s="4" t="s">
        <v>49</v>
      </c>
      <c r="G4" t="str">
        <f>A4</f>
        <v xml:space="preserve"> Season 1</v>
      </c>
      <c r="H4" t="str">
        <f>VLOOKUP($G$4,Table65[],2,0)</f>
        <v>Jaipur Pink Panthers</v>
      </c>
      <c r="I4" t="str">
        <f>VLOOKUP($G$4,Table65[],3,0)</f>
        <v>U Mumba</v>
      </c>
      <c r="J4" t="str">
        <f>VLOOKUP($G$4,Table65[],4,0)</f>
        <v>Maninder Singh</v>
      </c>
      <c r="K4" t="str">
        <f>VLOOKUP($G$4,Table65[],5,0)</f>
        <v>Anup Kumar</v>
      </c>
      <c r="L4" t="str">
        <f>VLOOKUP($G$4,Table65[],6,0)</f>
        <v>Manjeet Chillar</v>
      </c>
      <c r="M4" t="str">
        <f>VLOOKUP($G$4,Table65[],7,0)</f>
        <v>Anup Kumar</v>
      </c>
    </row>
    <row r="5" spans="1:13" x14ac:dyDescent="0.25">
      <c r="A5" s="4" t="s">
        <v>72</v>
      </c>
    </row>
    <row r="20" spans="6:12" x14ac:dyDescent="0.25">
      <c r="F20" s="10" t="s">
        <v>21</v>
      </c>
      <c r="G20" s="2" t="s">
        <v>22</v>
      </c>
      <c r="H20" s="2" t="s">
        <v>23</v>
      </c>
      <c r="I20" s="2" t="s">
        <v>25</v>
      </c>
      <c r="J20" s="2" t="s">
        <v>24</v>
      </c>
      <c r="K20" s="11" t="s">
        <v>35</v>
      </c>
      <c r="L20" s="12" t="s">
        <v>36</v>
      </c>
    </row>
    <row r="21" spans="6:12" x14ac:dyDescent="0.25">
      <c r="F21" s="4" t="s">
        <v>49</v>
      </c>
      <c r="G21" s="1" t="s">
        <v>2</v>
      </c>
      <c r="H21" s="1" t="s">
        <v>3</v>
      </c>
      <c r="I21" s="1" t="s">
        <v>27</v>
      </c>
      <c r="J21" s="1" t="s">
        <v>26</v>
      </c>
      <c r="K21" s="1" t="s">
        <v>34</v>
      </c>
      <c r="L21" s="6" t="s">
        <v>26</v>
      </c>
    </row>
    <row r="22" spans="6:12" x14ac:dyDescent="0.25">
      <c r="F22" s="4" t="s">
        <v>48</v>
      </c>
      <c r="G22" s="1" t="s">
        <v>3</v>
      </c>
      <c r="H22" s="1" t="s">
        <v>5</v>
      </c>
      <c r="I22" s="1" t="s">
        <v>28</v>
      </c>
      <c r="J22" s="1" t="s">
        <v>34</v>
      </c>
      <c r="K22" s="1" t="s">
        <v>37</v>
      </c>
      <c r="L22" s="6" t="s">
        <v>33</v>
      </c>
    </row>
    <row r="23" spans="6:12" x14ac:dyDescent="0.25">
      <c r="F23" s="4" t="s">
        <v>47</v>
      </c>
      <c r="G23" s="1" t="s">
        <v>4</v>
      </c>
      <c r="H23" s="1" t="s">
        <v>3</v>
      </c>
      <c r="I23" s="1" t="s">
        <v>29</v>
      </c>
      <c r="J23" s="1" t="s">
        <v>29</v>
      </c>
      <c r="K23" s="1" t="s">
        <v>34</v>
      </c>
      <c r="L23" s="6" t="s">
        <v>30</v>
      </c>
    </row>
    <row r="24" spans="6:12" x14ac:dyDescent="0.25">
      <c r="F24" s="4" t="s">
        <v>46</v>
      </c>
      <c r="G24" s="1" t="s">
        <v>4</v>
      </c>
      <c r="H24" s="1" t="s">
        <v>2</v>
      </c>
      <c r="I24" s="1" t="s">
        <v>30</v>
      </c>
      <c r="J24" s="1" t="s">
        <v>30</v>
      </c>
      <c r="K24" s="1" t="s">
        <v>39</v>
      </c>
      <c r="L24" s="6" t="s">
        <v>38</v>
      </c>
    </row>
    <row r="25" spans="6:12" x14ac:dyDescent="0.25">
      <c r="F25" s="4" t="s">
        <v>45</v>
      </c>
      <c r="G25" s="1" t="s">
        <v>4</v>
      </c>
      <c r="H25" s="1" t="s">
        <v>14</v>
      </c>
      <c r="I25" s="1" t="s">
        <v>30</v>
      </c>
      <c r="J25" s="1" t="s">
        <v>30</v>
      </c>
      <c r="K25" s="1" t="s">
        <v>40</v>
      </c>
      <c r="L25" s="6" t="s">
        <v>30</v>
      </c>
    </row>
    <row r="26" spans="6:12" x14ac:dyDescent="0.25">
      <c r="F26" s="4" t="s">
        <v>44</v>
      </c>
      <c r="G26" s="1" t="s">
        <v>5</v>
      </c>
      <c r="H26" s="1" t="s">
        <v>14</v>
      </c>
      <c r="I26" s="1" t="s">
        <v>31</v>
      </c>
      <c r="J26" s="1" t="s">
        <v>31</v>
      </c>
      <c r="K26" s="1" t="s">
        <v>41</v>
      </c>
      <c r="L26" s="6" t="s">
        <v>31</v>
      </c>
    </row>
    <row r="27" spans="6:12" x14ac:dyDescent="0.25">
      <c r="F27" s="4" t="s">
        <v>43</v>
      </c>
      <c r="G27" s="8" t="s">
        <v>8</v>
      </c>
      <c r="H27" s="8" t="s">
        <v>7</v>
      </c>
      <c r="I27" s="8" t="s">
        <v>32</v>
      </c>
      <c r="J27" s="8" t="s">
        <v>42</v>
      </c>
      <c r="K27" s="8" t="s">
        <v>39</v>
      </c>
      <c r="L27" s="9" t="s">
        <v>31</v>
      </c>
    </row>
    <row r="28" spans="6:12" x14ac:dyDescent="0.25">
      <c r="F28" s="7" t="s">
        <v>50</v>
      </c>
      <c r="G28" s="8" t="s">
        <v>4</v>
      </c>
      <c r="H28" s="8" t="s">
        <v>3</v>
      </c>
      <c r="I28" s="8" t="s">
        <v>80</v>
      </c>
      <c r="J28" s="8" t="s">
        <v>80</v>
      </c>
      <c r="K28" s="8" t="s">
        <v>39</v>
      </c>
      <c r="L28" s="9" t="s">
        <v>30</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4487E-0A25-4FB2-B9F1-D8FBFBB12352}">
  <dimension ref="Y49"/>
  <sheetViews>
    <sheetView showGridLines="0" tabSelected="1" zoomScale="86" zoomScaleNormal="86" workbookViewId="0">
      <selection activeCell="O30" sqref="O30"/>
    </sheetView>
  </sheetViews>
  <sheetFormatPr defaultRowHeight="15" x14ac:dyDescent="0.25"/>
  <sheetData>
    <row r="49" spans="25:25" x14ac:dyDescent="0.25">
      <c r="Y49"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Winners data</vt:lpstr>
      <vt:lpstr>teamStats_needed</vt:lpstr>
      <vt:lpstr>Super Raids And Tackles</vt:lpstr>
      <vt:lpstr>Wins</vt:lpstr>
      <vt:lpstr>Winners</vt:lpstr>
      <vt:lpstr>team performance</vt:lpstr>
      <vt:lpstr>Team Stats</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Aayush Shinde</dc:creator>
  <cp:lastModifiedBy>Aayush Shinde</cp:lastModifiedBy>
  <dcterms:created xsi:type="dcterms:W3CDTF">2026-09-01T18:42:36Z</dcterms:created>
  <dcterms:modified xsi:type="dcterms:W3CDTF">2026-09-03T16:32:59Z</dcterms:modified>
</cp:coreProperties>
</file>